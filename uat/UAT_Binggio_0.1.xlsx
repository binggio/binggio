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UAT cas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'UAT cases'!$A$1:$O$79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8">
    <font>
      <name val="Calibri"/>
      <family val="2"/>
      <color theme="1"/>
      <sz val="11"/>
      <scheme val="minor"/>
    </font>
    <font>
      <name val="Arial"/>
      <b val="1"/>
      <color rgb="00101F36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01F36"/>
      <sz val="14"/>
    </font>
    <font>
      <name val="Arial"/>
      <color rgb="005F6F84"/>
      <sz val="10"/>
    </font>
    <font>
      <name val="Arial"/>
      <b val="1"/>
      <color rgb="00101F36"/>
      <sz val="12"/>
    </font>
  </fonts>
  <fills count="5">
    <fill>
      <patternFill/>
    </fill>
    <fill>
      <patternFill patternType="gray125"/>
    </fill>
    <fill>
      <patternFill patternType="solid">
        <fgColor rgb="00FFF7CC"/>
      </patternFill>
    </fill>
    <fill>
      <patternFill patternType="solid">
        <fgColor rgb="00EEF1F5"/>
      </patternFill>
    </fill>
    <fill>
      <patternFill patternType="solid">
        <fgColor rgb="00101F36"/>
      </patternFill>
    </fill>
  </fills>
  <borders count="2">
    <border>
      <left/>
      <right/>
      <top/>
      <bottom/>
      <diagonal/>
    </border>
    <border>
      <left style="thin">
        <color rgb="00DFE4EC"/>
      </left>
      <right style="thin">
        <color rgb="00DFE4EC"/>
      </right>
      <top style="thin">
        <color rgb="00DFE4EC"/>
      </top>
      <bottom style="thin">
        <color rgb="00DFE4E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4" fontId="3" fillId="2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Arial"/>
        <b val="1"/>
        <color rgb="0013846E"/>
      </font>
      <fill>
        <patternFill patternType="solid">
          <fgColor rgb="00E3F3EF"/>
        </patternFill>
      </fill>
    </dxf>
    <dxf>
      <font>
        <name val="Arial"/>
        <b val="1"/>
        <color rgb="00B4232F"/>
      </font>
      <fill>
        <patternFill patternType="solid">
          <fgColor rgb="00FBE7E9"/>
        </patternFill>
      </fill>
    </dxf>
    <dxf>
      <font>
        <name val="Arial"/>
        <b val="1"/>
        <color rgb="00AE6910"/>
      </font>
      <fill>
        <patternFill patternType="solid">
          <fgColor rgb="00FBF0DF"/>
        </patternFill>
      </fill>
    </dxf>
    <dxf>
      <font>
        <name val="Arial"/>
        <b val="1"/>
        <color rgb="007B8798"/>
      </font>
      <fill>
        <patternFill patternType="solid">
          <fgColor rgb="00EEF0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Binggio 0.1 user acceptance test</t>
        </is>
      </c>
    </row>
    <row r="3" ht="44" customHeight="1">
      <c r="A3" s="2" t="inlineStr">
        <is>
          <t>What this is</t>
        </is>
      </c>
      <c r="B3" s="3" t="inlineStr">
        <is>
          <t>78 end-to-end cases covering install, the app, the sample bank, adding data, discovery, onboarding, review, data changes, asking, safety, performance and the screens. Release when every P1 case passes.</t>
        </is>
      </c>
    </row>
    <row r="4" ht="44" customHeight="1">
      <c r="A4" s="2" t="inlineStr">
        <is>
          <t>The agent</t>
        </is>
      </c>
      <c r="B4" s="3" t="inlineStr">
        <is>
          <t>python uat\run_uat.py runs every case it can on a fresh simulated machine and fills in "Agent result" and "Agent finding" in a copy of this workbook (uat\reports\UAT_results_&lt;time&gt;.xlsx). Add --with-model for questions in your own words, --sqlserver "host=localhost;database=master;windows" for SQL Server.</t>
        </is>
      </c>
    </row>
    <row r="5" ht="44" customHeight="1">
      <c r="A5" s="2" t="inlineStr">
        <is>
          <t>Agent result</t>
        </is>
      </c>
      <c r="B5" s="3" t="inlineStr">
        <is>
          <t>PASS: checked against independent counts or exact values. FAIL: clearly wrong. AMBIGUOUS: the agent cannot decide; you decide. NOT RUN: needs a server, Playwright or a model key on this PC.</t>
        </is>
      </c>
    </row>
    <row r="6" ht="44" customHeight="1">
      <c r="A6" s="2" t="inlineStr">
        <is>
          <t>What you fill in</t>
        </is>
      </c>
      <c r="B6" s="3" t="inlineStr">
        <is>
          <t>Only the yellow columns: Your result (choose from the list), Tester, Date, Notes. Give every AMBIGUOUS case a verdict, and re-test FAIL cases after the fix.</t>
        </is>
      </c>
    </row>
    <row r="7" ht="30" customHeight="1">
      <c r="A7" s="2" t="inlineStr">
        <is>
          <t>Your result</t>
        </is>
      </c>
      <c r="B7" s="3" t="inlineStr">
        <is>
          <t>PASS, FAIL, BLOCKED (cannot be tested yet) or N/A (does not apply to this release).</t>
        </is>
      </c>
    </row>
    <row r="8" ht="44" customHeight="1">
      <c r="A8" s="2" t="inlineStr">
        <is>
          <t>Example row</t>
        </is>
      </c>
      <c r="B8" s="3" t="inlineStr">
        <is>
          <t>Your result: FAIL · Tester: Ashish · Date: 30-Oct-2026 · Notes: Refresh listed "accounts, loans" as changed but only accounts changed.</t>
        </is>
      </c>
    </row>
    <row r="9" ht="44" customHeight="1">
      <c r="A9" s="2" t="inlineStr">
        <is>
          <t>Release rule</t>
        </is>
      </c>
      <c r="B9" s="3" t="inlineStr">
        <is>
          <t>All P1 cases PASS (by the agent or by you), no FAIL left open, every AMBIGUOUS case decided. The Summary tab counts these.</t>
        </is>
      </c>
    </row>
    <row r="11">
      <c r="A11" s="2" t="inlineStr">
        <is>
          <t>Columns to fill in</t>
        </is>
      </c>
      <c r="B11" s="4" t="inlineStr">
        <is>
          <t>Yellow</t>
        </is>
      </c>
    </row>
    <row r="12">
      <c r="A12" s="2" t="inlineStr">
        <is>
          <t>Filled by the agent</t>
        </is>
      </c>
      <c r="B12" s="5" t="inlineStr">
        <is>
          <t>Grey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9" customWidth="1" min="3" max="3"/>
    <col width="34" customWidth="1" min="4" max="4"/>
    <col width="46" customWidth="1" min="5" max="5"/>
    <col width="40" customWidth="1" min="6" max="6"/>
    <col width="15" customWidth="1" min="7" max="7"/>
    <col width="32" customWidth="1" min="8" max="8"/>
    <col width="32" customWidth="1" min="9" max="9"/>
    <col width="12" customWidth="1" min="10" max="10"/>
    <col width="44" customWidth="1" min="11" max="11"/>
    <col width="12" customWidth="1" min="12" max="12"/>
    <col width="14" customWidth="1" min="13" max="13"/>
    <col width="12" customWidth="1" min="14" max="14"/>
    <col width="36" customWidth="1" min="15" max="15"/>
  </cols>
  <sheetData>
    <row r="1" ht="30" customHeight="1">
      <c r="A1" s="6" t="inlineStr">
        <is>
          <t>ID</t>
        </is>
      </c>
      <c r="B1" s="6" t="inlineStr">
        <is>
          <t>Area</t>
        </is>
      </c>
      <c r="C1" s="6" t="inlineStr">
        <is>
          <t>Priority</t>
        </is>
      </c>
      <c r="D1" s="6" t="inlineStr">
        <is>
          <t>Test</t>
        </is>
      </c>
      <c r="E1" s="6" t="inlineStr">
        <is>
          <t>Steps</t>
        </is>
      </c>
      <c r="F1" s="6" t="inlineStr">
        <is>
          <t>Expected result</t>
        </is>
      </c>
      <c r="G1" s="6" t="inlineStr">
        <is>
          <t>How it is run</t>
        </is>
      </c>
      <c r="H1" s="6" t="inlineStr">
        <is>
          <t>How the agent decides</t>
        </is>
      </c>
      <c r="I1" s="6" t="inlineStr">
        <is>
          <t>Agent hands it to you when</t>
        </is>
      </c>
      <c r="J1" s="6" t="inlineStr">
        <is>
          <t>Agent result</t>
        </is>
      </c>
      <c r="K1" s="6" t="inlineStr">
        <is>
          <t>Agent finding</t>
        </is>
      </c>
      <c r="L1" s="6" t="inlineStr">
        <is>
          <t>Your result</t>
        </is>
      </c>
      <c r="M1" s="6" t="inlineStr">
        <is>
          <t>Tester</t>
        </is>
      </c>
      <c r="N1" s="6" t="inlineStr">
        <is>
          <t>Date</t>
        </is>
      </c>
      <c r="O1" s="6" t="inlineStr">
        <is>
          <t>Notes</t>
        </is>
      </c>
    </row>
    <row r="2" ht="60" customHeight="1">
      <c r="A2" s="7" t="inlineStr">
        <is>
          <t>INS-01</t>
        </is>
      </c>
      <c r="B2" s="8" t="inlineStr">
        <is>
          <t>Install</t>
        </is>
      </c>
      <c r="C2" s="8" t="inlineStr">
        <is>
          <t>P1</t>
        </is>
      </c>
      <c r="D2" s="8" t="inlineStr">
        <is>
          <t>Install from the built package into a clean Python</t>
        </is>
      </c>
      <c r="E2" s="8" t="inlineStr">
        <is>
          <t>1. Build the wheel from a clean copy of the source
2. Create a new virtual environment
3. pip install the wheel</t>
        </is>
      </c>
      <c r="F2" s="8" t="inlineStr">
        <is>
          <t>Install succeeds with no extra dependencies</t>
        </is>
      </c>
      <c r="G2" s="8" t="inlineStr">
        <is>
          <t>Agent</t>
        </is>
      </c>
      <c r="H2" s="8" t="inlineStr">
        <is>
          <t>pip exit code 0; binggio has no required dependencies</t>
        </is>
      </c>
      <c r="I2" s="8" t="inlineStr">
        <is>
          <t>-</t>
        </is>
      </c>
      <c r="J2" s="9" t="n"/>
      <c r="K2" s="9" t="n"/>
      <c r="L2" s="10" t="n"/>
      <c r="M2" s="10" t="n"/>
      <c r="N2" s="11" t="n"/>
      <c r="O2" s="10" t="n"/>
    </row>
    <row r="3" ht="45" customHeight="1">
      <c r="A3" s="7" t="inlineStr">
        <is>
          <t>INS-02</t>
        </is>
      </c>
      <c r="B3" s="8" t="inlineStr">
        <is>
          <t>Install</t>
        </is>
      </c>
      <c r="C3" s="8" t="inlineStr">
        <is>
          <t>P1</t>
        </is>
      </c>
      <c r="D3" s="8" t="inlineStr">
        <is>
          <t>Installed files are exactly the source</t>
        </is>
      </c>
      <c r="E3" s="8" t="inlineStr">
        <is>
          <t>Compare every installed file with the source tree</t>
        </is>
      </c>
      <c r="F3" s="8" t="inlineStr">
        <is>
          <t>Every file identical; none missing (UI page and sample bank included)</t>
        </is>
      </c>
      <c r="G3" s="8" t="inlineStr">
        <is>
          <t>Agent</t>
        </is>
      </c>
      <c r="H3" s="8" t="inlineStr">
        <is>
          <t>byte comparison of all files</t>
        </is>
      </c>
      <c r="I3" s="8" t="inlineStr">
        <is>
          <t>-</t>
        </is>
      </c>
      <c r="J3" s="9" t="n"/>
      <c r="K3" s="9" t="n"/>
      <c r="L3" s="10" t="n"/>
      <c r="M3" s="10" t="n"/>
      <c r="N3" s="11" t="n"/>
      <c r="O3" s="10" t="n"/>
    </row>
    <row r="4" ht="45" customHeight="1">
      <c r="A4" s="7" t="inlineStr">
        <is>
          <t>INS-03</t>
        </is>
      </c>
      <c r="B4" s="8" t="inlineStr">
        <is>
          <t>Install</t>
        </is>
      </c>
      <c r="C4" s="8" t="inlineStr">
        <is>
          <t>P1</t>
        </is>
      </c>
      <c r="D4" s="8" t="inlineStr">
        <is>
          <t>binggio --version and --help</t>
        </is>
      </c>
      <c r="E4" s="8" t="inlineStr">
        <is>
          <t>Run binggio --version, then binggio --help</t>
        </is>
      </c>
      <c r="F4" s="8" t="inlineStr">
        <is>
          <t>Version 0.1.0 printed; help lists ui, onboard, ask</t>
        </is>
      </c>
      <c r="G4" s="8" t="inlineStr">
        <is>
          <t>Agent</t>
        </is>
      </c>
      <c r="H4" s="8" t="inlineStr">
        <is>
          <t>exit code and text</t>
        </is>
      </c>
      <c r="I4" s="8" t="inlineStr">
        <is>
          <t>-</t>
        </is>
      </c>
      <c r="J4" s="9" t="n"/>
      <c r="K4" s="9" t="n"/>
      <c r="L4" s="10" t="n"/>
      <c r="M4" s="10" t="n"/>
      <c r="N4" s="11" t="n"/>
      <c r="O4" s="10" t="n"/>
    </row>
    <row r="5" ht="45" customHeight="1">
      <c r="A5" s="7" t="inlineStr">
        <is>
          <t>INS-04</t>
        </is>
      </c>
      <c r="B5" s="8" t="inlineStr">
        <is>
          <t>Install</t>
        </is>
      </c>
      <c r="C5" s="8" t="inlineStr">
        <is>
          <t>P1</t>
        </is>
      </c>
      <c r="D5" s="8" t="inlineStr">
        <is>
          <t>python -m binggio works when the command is not on PATH</t>
        </is>
      </c>
      <c r="E5" s="8" t="inlineStr">
        <is>
          <t>Run python -m binggio --version</t>
        </is>
      </c>
      <c r="F5" s="8" t="inlineStr">
        <is>
          <t>Same output as binggio --version</t>
        </is>
      </c>
      <c r="G5" s="8" t="inlineStr">
        <is>
          <t>Agent</t>
        </is>
      </c>
      <c r="H5" s="8" t="inlineStr">
        <is>
          <t>exit code and text</t>
        </is>
      </c>
      <c r="I5" s="8" t="inlineStr">
        <is>
          <t>-</t>
        </is>
      </c>
      <c r="J5" s="9" t="n"/>
      <c r="K5" s="9" t="n"/>
      <c r="L5" s="10" t="n"/>
      <c r="M5" s="10" t="n"/>
      <c r="N5" s="11" t="n"/>
      <c r="O5" s="10" t="n"/>
    </row>
    <row r="6" ht="45" customHeight="1">
      <c r="A6" s="7" t="inlineStr">
        <is>
          <t>INS-05</t>
        </is>
      </c>
      <c r="B6" s="8" t="inlineStr">
        <is>
          <t>Install</t>
        </is>
      </c>
      <c r="C6" s="8" t="inlineStr">
        <is>
          <t>P2</t>
        </is>
      </c>
      <c r="D6" s="8" t="inlineStr">
        <is>
          <t>Excel extra installs</t>
        </is>
      </c>
      <c r="E6" s="8" t="inlineStr">
        <is>
          <t>pip install openpyxl into the environment (binggio[excel])</t>
        </is>
      </c>
      <c r="F6" s="8" t="inlineStr">
        <is>
          <t>Excel support available</t>
        </is>
      </c>
      <c r="G6" s="8" t="inlineStr">
        <is>
          <t>Agent</t>
        </is>
      </c>
      <c r="H6" s="8" t="inlineStr">
        <is>
          <t>import works after install</t>
        </is>
      </c>
      <c r="I6" s="8" t="inlineStr">
        <is>
          <t>install fails because there is no internet (cannot tell a packaging fault from a network fault)</t>
        </is>
      </c>
      <c r="J6" s="9" t="n"/>
      <c r="K6" s="9" t="n"/>
      <c r="L6" s="10" t="n"/>
      <c r="M6" s="10" t="n"/>
      <c r="N6" s="11" t="n"/>
      <c r="O6" s="10" t="n"/>
    </row>
    <row r="7" ht="45" customHeight="1">
      <c r="A7" s="7" t="inlineStr">
        <is>
          <t>LIC-01</t>
        </is>
      </c>
      <c r="B7" s="8" t="inlineStr">
        <is>
          <t>Install</t>
        </is>
      </c>
      <c r="C7" s="8" t="inlineStr">
        <is>
          <t>P1</t>
        </is>
      </c>
      <c r="D7" s="8" t="inlineStr">
        <is>
          <t>Licence is the official AGPL-3.0 text and the package declares it</t>
        </is>
      </c>
      <c r="E7" s="8" t="inlineStr">
        <is>
          <t>Check LICENSE in the source and the installed package metadata</t>
        </is>
      </c>
      <c r="F7" s="8" t="inlineStr">
        <is>
          <t>LICENSE is the unchanged GNU AGPL v3 text; metadata says AGPL-3.0-or-later; source files carry the SPDX header</t>
        </is>
      </c>
      <c r="G7" s="8" t="inlineStr">
        <is>
          <t>Agent</t>
        </is>
      </c>
      <c r="H7" s="8" t="inlineStr">
        <is>
          <t>file heading, version line and length; metadata; headers on every source file</t>
        </is>
      </c>
      <c r="I7" s="8" t="inlineStr">
        <is>
          <t>-</t>
        </is>
      </c>
      <c r="J7" s="9" t="n"/>
      <c r="K7" s="9" t="n"/>
      <c r="L7" s="10" t="n"/>
      <c r="M7" s="10" t="n"/>
      <c r="N7" s="11" t="n"/>
      <c r="O7" s="10" t="n"/>
    </row>
    <row r="8" ht="45" customHeight="1">
      <c r="A8" s="7" t="inlineStr">
        <is>
          <t>INS-06</t>
        </is>
      </c>
      <c r="B8" s="8" t="inlineStr">
        <is>
          <t>Install</t>
        </is>
      </c>
      <c r="C8" s="8" t="inlineStr">
        <is>
          <t>P1</t>
        </is>
      </c>
      <c r="D8" s="8" t="inlineStr">
        <is>
          <t>Commands outside a workspace explain what to do</t>
        </is>
      </c>
      <c r="E8" s="8" t="inlineStr">
        <is>
          <t>In an empty folder run binggio status</t>
        </is>
      </c>
      <c r="F8" s="8" t="inlineStr">
        <is>
          <t>Clear message "No Binggio workspace found ... Run: binggio init"; exit code 2, no traceback</t>
        </is>
      </c>
      <c r="G8" s="8" t="inlineStr">
        <is>
          <t>Agent</t>
        </is>
      </c>
      <c r="H8" s="8" t="inlineStr">
        <is>
          <t>exit code 2 and message; no "Traceback" in output</t>
        </is>
      </c>
      <c r="I8" s="8" t="inlineStr">
        <is>
          <t>-</t>
        </is>
      </c>
      <c r="J8" s="9" t="n"/>
      <c r="K8" s="9" t="n"/>
      <c r="L8" s="10" t="n"/>
      <c r="M8" s="10" t="n"/>
      <c r="N8" s="11" t="n"/>
      <c r="O8" s="10" t="n"/>
    </row>
    <row r="9" ht="45" customHeight="1">
      <c r="A9" s="7" t="inlineStr">
        <is>
          <t>APP-01</t>
        </is>
      </c>
      <c r="B9" s="8" t="inlineStr">
        <is>
          <t>App</t>
        </is>
      </c>
      <c r="C9" s="8" t="inlineStr">
        <is>
          <t>P1</t>
        </is>
      </c>
      <c r="D9" s="8" t="inlineStr">
        <is>
          <t>binggio ui starts and prints its address</t>
        </is>
      </c>
      <c r="E9" s="8" t="inlineStr">
        <is>
          <t>Run binggio ui --no-browser in a folder that is not a workspace</t>
        </is>
      </c>
      <c r="F9" s="8" t="inlineStr">
        <is>
          <t>Address http://127.0.0.1:&lt;port&gt;/ printed within 10 s; start screen served</t>
        </is>
      </c>
      <c r="G9" s="8" t="inlineStr">
        <is>
          <t>Agent</t>
        </is>
      </c>
      <c r="H9" s="8" t="inlineStr">
        <is>
          <t>address printed; page contains the app</t>
        </is>
      </c>
      <c r="I9" s="8" t="inlineStr">
        <is>
          <t>starts but takes 10-30 s</t>
        </is>
      </c>
      <c r="J9" s="9" t="n"/>
      <c r="K9" s="9" t="n"/>
      <c r="L9" s="10" t="n"/>
      <c r="M9" s="10" t="n"/>
      <c r="N9" s="11" t="n"/>
      <c r="O9" s="10" t="n"/>
    </row>
    <row r="10" ht="45" customHeight="1">
      <c r="A10" s="7" t="inlineStr">
        <is>
          <t>APP-02</t>
        </is>
      </c>
      <c r="B10" s="8" t="inlineStr">
        <is>
          <t>App</t>
        </is>
      </c>
      <c r="C10" s="8" t="inlineStr">
        <is>
          <t>P1</t>
        </is>
      </c>
      <c r="D10" s="8" t="inlineStr">
        <is>
          <t>API refuses requests without the session token</t>
        </is>
      </c>
      <c r="E10" s="8" t="inlineStr">
        <is>
          <t>Call the API with no token and a wrong token</t>
        </is>
      </c>
      <c r="F10" s="8" t="inlineStr">
        <is>
          <t>HTTP 403 both times</t>
        </is>
      </c>
      <c r="G10" s="8" t="inlineStr">
        <is>
          <t>Agent</t>
        </is>
      </c>
      <c r="H10" s="8" t="inlineStr">
        <is>
          <t>status codes</t>
        </is>
      </c>
      <c r="I10" s="8" t="inlineStr">
        <is>
          <t>-</t>
        </is>
      </c>
      <c r="J10" s="9" t="n"/>
      <c r="K10" s="9" t="n"/>
      <c r="L10" s="10" t="n"/>
      <c r="M10" s="10" t="n"/>
      <c r="N10" s="11" t="n"/>
      <c r="O10" s="10" t="n"/>
    </row>
    <row r="11" ht="45" customHeight="1">
      <c r="A11" s="7" t="inlineStr">
        <is>
          <t>APP-03</t>
        </is>
      </c>
      <c r="B11" s="8" t="inlineStr">
        <is>
          <t>App</t>
        </is>
      </c>
      <c r="C11" s="8" t="inlineStr">
        <is>
          <t>P1</t>
        </is>
      </c>
      <c r="D11" s="8" t="inlineStr">
        <is>
          <t>API refuses another host name (DNS rebinding)</t>
        </is>
      </c>
      <c r="E11" s="8" t="inlineStr">
        <is>
          <t>Call the API with Host: evil.example</t>
        </is>
      </c>
      <c r="F11" s="8" t="inlineStr">
        <is>
          <t>HTTP 403</t>
        </is>
      </c>
      <c r="G11" s="8" t="inlineStr">
        <is>
          <t>Agent</t>
        </is>
      </c>
      <c r="H11" s="8" t="inlineStr">
        <is>
          <t>status code</t>
        </is>
      </c>
      <c r="I11" s="8" t="inlineStr">
        <is>
          <t>-</t>
        </is>
      </c>
      <c r="J11" s="9" t="n"/>
      <c r="K11" s="9" t="n"/>
      <c r="L11" s="10" t="n"/>
      <c r="M11" s="10" t="n"/>
      <c r="N11" s="11" t="n"/>
      <c r="O11" s="10" t="n"/>
    </row>
    <row r="12" ht="45" customHeight="1">
      <c r="A12" s="7" t="inlineStr">
        <is>
          <t>APP-04</t>
        </is>
      </c>
      <c r="B12" s="8" t="inlineStr">
        <is>
          <t>App</t>
        </is>
      </c>
      <c r="C12" s="8" t="inlineStr">
        <is>
          <t>P1</t>
        </is>
      </c>
      <c r="D12" s="8" t="inlineStr">
        <is>
          <t>Start screen: create the sample bank</t>
        </is>
      </c>
      <c r="E12" s="8" t="inlineStr">
        <is>
          <t>Choose a folder, name it, click Create the sample bank</t>
        </is>
      </c>
      <c r="F12" s="8" t="inlineStr">
        <is>
          <t>Sample bank created; app opens on Ask</t>
        </is>
      </c>
      <c r="G12" s="8" t="inlineStr">
        <is>
          <t>Agent</t>
        </is>
      </c>
      <c r="H12" s="8" t="inlineStr">
        <is>
          <t>workspace created; status shows 63 answerable tables</t>
        </is>
      </c>
      <c r="I12" s="8" t="inlineStr">
        <is>
          <t>-</t>
        </is>
      </c>
      <c r="J12" s="9" t="n"/>
      <c r="K12" s="9" t="n"/>
      <c r="L12" s="10" t="n"/>
      <c r="M12" s="10" t="n"/>
      <c r="N12" s="11" t="n"/>
      <c r="O12" s="10" t="n"/>
    </row>
    <row r="13" ht="45" customHeight="1">
      <c r="A13" s="7" t="inlineStr">
        <is>
          <t>APP-05</t>
        </is>
      </c>
      <c r="B13" s="8" t="inlineStr">
        <is>
          <t>App</t>
        </is>
      </c>
      <c r="C13" s="8" t="inlineStr">
        <is>
          <t>P2</t>
        </is>
      </c>
      <c r="D13" s="8" t="inlineStr">
        <is>
          <t>Start screen: open an existing workspace and the recent list</t>
        </is>
      </c>
      <c r="E13" s="8" t="inlineStr">
        <is>
          <t>Open a workspace by folder; restart the app; check Recent</t>
        </is>
      </c>
      <c r="F13" s="8" t="inlineStr">
        <is>
          <t>Workspace opens; it appears in Recent after restart</t>
        </is>
      </c>
      <c r="G13" s="8" t="inlineStr">
        <is>
          <t>Agent</t>
        </is>
      </c>
      <c r="H13" s="8" t="inlineStr">
        <is>
          <t>open succeeds; recent list contains it</t>
        </is>
      </c>
      <c r="I13" s="8" t="inlineStr">
        <is>
          <t>-</t>
        </is>
      </c>
      <c r="J13" s="9" t="n"/>
      <c r="K13" s="9" t="n"/>
      <c r="L13" s="10" t="n"/>
      <c r="M13" s="10" t="n"/>
      <c r="N13" s="11" t="n"/>
      <c r="O13" s="10" t="n"/>
    </row>
    <row r="14" ht="45" customHeight="1">
      <c r="A14" s="7" t="inlineStr">
        <is>
          <t>APP-06</t>
        </is>
      </c>
      <c r="B14" s="8" t="inlineStr">
        <is>
          <t>App</t>
        </is>
      </c>
      <c r="C14" s="8" t="inlineStr">
        <is>
          <t>P1</t>
        </is>
      </c>
      <c r="D14" s="8" t="inlineStr">
        <is>
          <t>Opening a folder that is not a workspace is explained</t>
        </is>
      </c>
      <c r="E14" s="8" t="inlineStr">
        <is>
          <t>Open /not/a/workspace</t>
        </is>
      </c>
      <c r="F14" s="8" t="inlineStr">
        <is>
          <t>Clear error, app stays usable</t>
        </is>
      </c>
      <c r="G14" s="8" t="inlineStr">
        <is>
          <t>Agent</t>
        </is>
      </c>
      <c r="H14" s="8" t="inlineStr">
        <is>
          <t>HTTP 400 with a message containing "workspace"</t>
        </is>
      </c>
      <c r="I14" s="8" t="inlineStr">
        <is>
          <t>-</t>
        </is>
      </c>
      <c r="J14" s="9" t="n"/>
      <c r="K14" s="9" t="n"/>
      <c r="L14" s="10" t="n"/>
      <c r="M14" s="10" t="n"/>
      <c r="N14" s="11" t="n"/>
      <c r="O14" s="10" t="n"/>
    </row>
    <row r="15" ht="45" customHeight="1">
      <c r="A15" s="7" t="inlineStr">
        <is>
          <t>DEMO-01</t>
        </is>
      </c>
      <c r="B15" s="8" t="inlineStr">
        <is>
          <t>Sample bank</t>
        </is>
      </c>
      <c r="C15" s="8" t="inlineStr">
        <is>
          <t>P1</t>
        </is>
      </c>
      <c r="D15" s="8" t="inlineStr">
        <is>
          <t>Overview numbers</t>
        </is>
      </c>
      <c r="E15" s="8" t="inlineStr">
        <is>
          <t>Open Overview on the sample bank</t>
        </is>
      </c>
      <c r="F15" s="8" t="inlineStr">
        <is>
          <t>10 sources, 85 tables, 63 ready for questions, 429 approvals current, 0 changed</t>
        </is>
      </c>
      <c r="G15" s="8" t="inlineStr">
        <is>
          <t>Agent</t>
        </is>
      </c>
      <c r="H15" s="8" t="inlineStr">
        <is>
          <t>exact numbers</t>
        </is>
      </c>
      <c r="I15" s="8" t="inlineStr">
        <is>
          <t>-</t>
        </is>
      </c>
      <c r="J15" s="9" t="n"/>
      <c r="K15" s="9" t="n"/>
      <c r="L15" s="10" t="n"/>
      <c r="M15" s="10" t="n"/>
      <c r="N15" s="11" t="n"/>
      <c r="O15" s="10" t="n"/>
    </row>
    <row r="16" ht="45" customHeight="1">
      <c r="A16" s="7" t="inlineStr">
        <is>
          <t>DEMO-02</t>
        </is>
      </c>
      <c r="B16" s="8" t="inlineStr">
        <is>
          <t>Sample bank</t>
        </is>
      </c>
      <c r="C16" s="8" t="inlineStr">
        <is>
          <t>P1</t>
        </is>
      </c>
      <c r="D16" s="8" t="inlineStr">
        <is>
          <t>No POC names or personal names visible</t>
        </is>
      </c>
      <c r="E16" s="8" t="inlineStr">
        <is>
          <t>Look at sources, concepts and the activity list</t>
        </is>
      </c>
      <c r="F16" s="8" t="inlineStr">
        <is>
          <t>No "Phase1", "POC", "decision round" or personal names</t>
        </is>
      </c>
      <c r="G16" s="8" t="inlineStr">
        <is>
          <t>Agent</t>
        </is>
      </c>
      <c r="H16" s="8" t="inlineStr">
        <is>
          <t>text search of every listed name, description and actor</t>
        </is>
      </c>
      <c r="I16" s="8" t="inlineStr">
        <is>
          <t>-</t>
        </is>
      </c>
      <c r="J16" s="9" t="n"/>
      <c r="K16" s="9" t="n"/>
      <c r="L16" s="10" t="n"/>
      <c r="M16" s="10" t="n"/>
      <c r="N16" s="11" t="n"/>
      <c r="O16" s="10" t="n"/>
    </row>
    <row r="17" ht="45" customHeight="1">
      <c r="A17" s="7" t="inlineStr">
        <is>
          <t>DEMO-03</t>
        </is>
      </c>
      <c r="B17" s="8" t="inlineStr">
        <is>
          <t>Sample bank</t>
        </is>
      </c>
      <c r="C17" s="8" t="inlineStr">
        <is>
          <t>P1</t>
        </is>
      </c>
      <c r="D17" s="8" t="inlineStr">
        <is>
          <t>Ten sample questions give the verified answers</t>
        </is>
      </c>
      <c r="E17" s="8" t="inlineStr">
        <is>
          <t>Click each sample question on Ask</t>
        </is>
      </c>
      <c r="F17" s="8" t="inlineStr">
        <is>
          <t>Each answer matches the verified answer (tests/golden)</t>
        </is>
      </c>
      <c r="G17" s="8" t="inlineStr">
        <is>
          <t>Agent</t>
        </is>
      </c>
      <c r="H17" s="8" t="inlineStr">
        <is>
          <t>rows compared with the verified answers</t>
        </is>
      </c>
      <c r="I17" s="8" t="inlineStr">
        <is>
          <t>-</t>
        </is>
      </c>
      <c r="J17" s="9" t="n"/>
      <c r="K17" s="9" t="n"/>
      <c r="L17" s="10" t="n"/>
      <c r="M17" s="10" t="n"/>
      <c r="N17" s="11" t="n"/>
      <c r="O17" s="10" t="n"/>
    </row>
    <row r="18" ht="45" customHeight="1">
      <c r="A18" s="7" t="inlineStr">
        <is>
          <t>DEMO-04</t>
        </is>
      </c>
      <c r="B18" s="8" t="inlineStr">
        <is>
          <t>Sample bank</t>
        </is>
      </c>
      <c r="C18" s="8" t="inlineStr">
        <is>
          <t>P1</t>
        </is>
      </c>
      <c r="D18" s="8" t="inlineStr">
        <is>
          <t>Follow-up questions use the previous answer</t>
        </is>
      </c>
      <c r="E18" s="8" t="inlineStr">
        <is>
          <t>Run the 3-step sample (top 10 loans -&gt; which are delinquent -&gt; their customers)</t>
        </is>
      </c>
      <c r="F18" s="8" t="inlineStr">
        <is>
          <t>10 loans, then 9, then the 9 customers</t>
        </is>
      </c>
      <c r="G18" s="8" t="inlineStr">
        <is>
          <t>Agent</t>
        </is>
      </c>
      <c r="H18" s="8" t="inlineStr">
        <is>
          <t>row counts and ids</t>
        </is>
      </c>
      <c r="I18" s="8" t="inlineStr">
        <is>
          <t>-</t>
        </is>
      </c>
      <c r="J18" s="9" t="n"/>
      <c r="K18" s="9" t="n"/>
      <c r="L18" s="10" t="n"/>
      <c r="M18" s="10" t="n"/>
      <c r="N18" s="11" t="n"/>
      <c r="O18" s="10" t="n"/>
    </row>
    <row r="19" ht="45" customHeight="1">
      <c r="A19" s="7" t="inlineStr">
        <is>
          <t>DEMO-05</t>
        </is>
      </c>
      <c r="B19" s="8" t="inlineStr">
        <is>
          <t>Sample bank</t>
        </is>
      </c>
      <c r="C19" s="8" t="inlineStr">
        <is>
          <t>P1</t>
        </is>
      </c>
      <c r="D19" s="8" t="inlineStr">
        <is>
          <t>Every answer shows where it came from</t>
        </is>
      </c>
      <c r="E19" s="8" t="inlineStr">
        <is>
          <t>Open an answer's details</t>
        </is>
      </c>
      <c r="F19" s="8" t="inlineStr">
        <is>
          <t>Source tables, business terms with meanings, as-of date, steps in plain words, the query</t>
        </is>
      </c>
      <c r="G19" s="8" t="inlineStr">
        <is>
          <t>Agent</t>
        </is>
      </c>
      <c r="H19" s="8" t="inlineStr">
        <is>
          <t>fields present and non-empty</t>
        </is>
      </c>
      <c r="I19" s="8" t="inlineStr">
        <is>
          <t>-</t>
        </is>
      </c>
      <c r="J19" s="9" t="n"/>
      <c r="K19" s="9" t="n"/>
      <c r="L19" s="10" t="n"/>
      <c r="M19" s="10" t="n"/>
      <c r="N19" s="11" t="n"/>
      <c r="O19" s="10" t="n"/>
    </row>
    <row r="20" ht="45" customHeight="1">
      <c r="A20" s="7" t="inlineStr">
        <is>
          <t>DEMO-06</t>
        </is>
      </c>
      <c r="B20" s="8" t="inlineStr">
        <is>
          <t>Sample bank</t>
        </is>
      </c>
      <c r="C20" s="8" t="inlineStr">
        <is>
          <t>P1</t>
        </is>
      </c>
      <c r="D20" s="8" t="inlineStr">
        <is>
          <t>Asking in your own words without a key is explained</t>
        </is>
      </c>
      <c r="E20" s="8" t="inlineStr">
        <is>
          <t>Type a question with no model key set</t>
        </is>
      </c>
      <c r="F20" s="8" t="inlineStr">
        <is>
          <t>Not answered: needs a model key, with a link to Settings</t>
        </is>
      </c>
      <c r="G20" s="8" t="inlineStr">
        <is>
          <t>Agent</t>
        </is>
      </c>
      <c r="H20" s="8" t="inlineStr">
        <is>
          <t>refusal code MODEL_NOT_CONFIGURED</t>
        </is>
      </c>
      <c r="I20" s="8" t="inlineStr">
        <is>
          <t>-</t>
        </is>
      </c>
      <c r="J20" s="9" t="n"/>
      <c r="K20" s="9" t="n"/>
      <c r="L20" s="10" t="n"/>
      <c r="M20" s="10" t="n"/>
      <c r="N20" s="11" t="n"/>
      <c r="O20" s="10" t="n"/>
    </row>
    <row r="21" ht="45" customHeight="1">
      <c r="A21" s="7" t="inlineStr">
        <is>
          <t>DEMO-07</t>
        </is>
      </c>
      <c r="B21" s="8" t="inlineStr">
        <is>
          <t>Sample bank</t>
        </is>
      </c>
      <c r="C21" s="8" t="inlineStr">
        <is>
          <t>P2</t>
        </is>
      </c>
      <c r="D21" s="8" t="inlineStr">
        <is>
          <t>Overview opens quickly</t>
        </is>
      </c>
      <c r="E21" s="8" t="inlineStr">
        <is>
          <t>Open Overview on the sample bank</t>
        </is>
      </c>
      <c r="F21" s="8" t="inlineStr">
        <is>
          <t>Under 2 seconds</t>
        </is>
      </c>
      <c r="G21" s="8" t="inlineStr">
        <is>
          <t>Agent</t>
        </is>
      </c>
      <c r="H21" s="8" t="inlineStr">
        <is>
          <t>timed API call</t>
        </is>
      </c>
      <c r="I21" s="8" t="inlineStr">
        <is>
          <t>2-5 seconds (acceptable on a slow PC?)</t>
        </is>
      </c>
      <c r="J21" s="9" t="n"/>
      <c r="K21" s="9" t="n"/>
      <c r="L21" s="10" t="n"/>
      <c r="M21" s="10" t="n"/>
      <c r="N21" s="11" t="n"/>
      <c r="O21" s="10" t="n"/>
    </row>
    <row r="22" ht="45" customHeight="1">
      <c r="A22" s="7" t="inlineStr">
        <is>
          <t>SRC-01</t>
        </is>
      </c>
      <c r="B22" s="8" t="inlineStr">
        <is>
          <t>Data sources</t>
        </is>
      </c>
      <c r="C22" s="8" t="inlineStr">
        <is>
          <t>P1</t>
        </is>
      </c>
      <c r="D22" s="8" t="inlineStr">
        <is>
          <t>Add a messy CSV export</t>
        </is>
      </c>
      <c r="E22" s="8" t="inlineStr">
        <is>
          <t>Data sources -&gt; CSV folder -&gt; Browse to the export -&gt; Add and profile</t>
        </is>
      </c>
      <c r="F22" s="8" t="inlineStr">
        <is>
          <t>4 tables added, profiled, relationships found; no errors</t>
        </is>
      </c>
      <c r="G22" s="8" t="inlineStr">
        <is>
          <t>Agent</t>
        </is>
      </c>
      <c r="H22" s="8" t="inlineStr">
        <is>
          <t>job finishes; 4 tables; 0 profile failures</t>
        </is>
      </c>
      <c r="I22" s="8" t="inlineStr">
        <is>
          <t>-</t>
        </is>
      </c>
      <c r="J22" s="9" t="n"/>
      <c r="K22" s="9" t="n"/>
      <c r="L22" s="10" t="n"/>
      <c r="M22" s="10" t="n"/>
      <c r="N22" s="11" t="n"/>
      <c r="O22" s="10" t="n"/>
    </row>
    <row r="23" ht="45" customHeight="1">
      <c r="A23" s="7" t="inlineStr">
        <is>
          <t>SRC-02</t>
        </is>
      </c>
      <c r="B23" s="8" t="inlineStr">
        <is>
          <t>Data sources</t>
        </is>
      </c>
      <c r="C23" s="8" t="inlineStr">
        <is>
          <t>P1</t>
        </is>
      </c>
      <c r="D23" s="8" t="inlineStr">
        <is>
          <t>Folder picker lists folders and counts CSV files</t>
        </is>
      </c>
      <c r="E23" s="8" t="inlineStr">
        <is>
          <t>Browse to the export folder</t>
        </is>
      </c>
      <c r="F23" s="8" t="inlineStr">
        <is>
          <t>Shows the folder and "4 CSV files in this folder"</t>
        </is>
      </c>
      <c r="G23" s="8" t="inlineStr">
        <is>
          <t>Agent</t>
        </is>
      </c>
      <c r="H23" s="8" t="inlineStr">
        <is>
          <t>API listing</t>
        </is>
      </c>
      <c r="I23" s="8" t="inlineStr">
        <is>
          <t>-</t>
        </is>
      </c>
      <c r="J23" s="9" t="n"/>
      <c r="K23" s="9" t="n"/>
      <c r="L23" s="10" t="n"/>
      <c r="M23" s="10" t="n"/>
      <c r="N23" s="11" t="n"/>
      <c r="O23" s="10" t="n"/>
    </row>
    <row r="24" ht="45" customHeight="1">
      <c r="A24" s="7" t="inlineStr">
        <is>
          <t>SRC-03</t>
        </is>
      </c>
      <c r="B24" s="8" t="inlineStr">
        <is>
          <t>Data sources</t>
        </is>
      </c>
      <c r="C24" s="8" t="inlineStr">
        <is>
          <t>P1</t>
        </is>
      </c>
      <c r="D24" s="8" t="inlineStr">
        <is>
          <t>Add an Excel workbook with title rows above the header</t>
        </is>
      </c>
      <c r="E24" s="8" t="inlineStr">
        <is>
          <t>Excel workbook -&gt; choose the file -&gt; Add</t>
        </is>
      </c>
      <c r="F24" s="8" t="inlineStr">
        <is>
          <t>Header found on row 3 for every sheet; 4 tables</t>
        </is>
      </c>
      <c r="G24" s="8" t="inlineStr">
        <is>
          <t>Agent</t>
        </is>
      </c>
      <c r="H24" s="8" t="inlineStr">
        <is>
          <t>notes and table count</t>
        </is>
      </c>
      <c r="I24" s="8" t="inlineStr">
        <is>
          <t>-</t>
        </is>
      </c>
      <c r="J24" s="9" t="n"/>
      <c r="K24" s="9" t="n"/>
      <c r="L24" s="10" t="n"/>
      <c r="M24" s="10" t="n"/>
      <c r="N24" s="11" t="n"/>
      <c r="O24" s="10" t="n"/>
    </row>
    <row r="25" ht="45" customHeight="1">
      <c r="A25" s="7" t="inlineStr">
        <is>
          <t>SRC-04</t>
        </is>
      </c>
      <c r="B25" s="8" t="inlineStr">
        <is>
          <t>Data sources</t>
        </is>
      </c>
      <c r="C25" s="8" t="inlineStr">
        <is>
          <t>P1</t>
        </is>
      </c>
      <c r="D25" s="8" t="inlineStr">
        <is>
          <t>Old .xls is refused with advice</t>
        </is>
      </c>
      <c r="E25" s="8" t="inlineStr">
        <is>
          <t>Add an .xls file</t>
        </is>
      </c>
      <c r="F25" s="8" t="inlineStr">
        <is>
          <t>Refused: "save as .xlsx"; nothing added</t>
        </is>
      </c>
      <c r="G25" s="8" t="inlineStr">
        <is>
          <t>Agent</t>
        </is>
      </c>
      <c r="H25" s="8" t="inlineStr">
        <is>
          <t>job fails with that message; source count unchanged</t>
        </is>
      </c>
      <c r="I25" s="8" t="inlineStr">
        <is>
          <t>-</t>
        </is>
      </c>
      <c r="J25" s="9" t="n"/>
      <c r="K25" s="9" t="n"/>
      <c r="L25" s="10" t="n"/>
      <c r="M25" s="10" t="n"/>
      <c r="N25" s="11" t="n"/>
      <c r="O25" s="10" t="n"/>
    </row>
    <row r="26" ht="45" customHeight="1">
      <c r="A26" s="7" t="inlineStr">
        <is>
          <t>SRC-05</t>
        </is>
      </c>
      <c r="B26" s="8" t="inlineStr">
        <is>
          <t>Data sources</t>
        </is>
      </c>
      <c r="C26" s="8" t="inlineStr">
        <is>
          <t>P1</t>
        </is>
      </c>
      <c r="D26" s="8" t="inlineStr">
        <is>
          <t>Add a SQLite database</t>
        </is>
      </c>
      <c r="E26" s="8" t="inlineStr">
        <is>
          <t>SQLite file -&gt; choose the .db -&gt; Add</t>
        </is>
      </c>
      <c r="F26" s="8" t="inlineStr">
        <is>
          <t>4 tables; declared primary keys kept</t>
        </is>
      </c>
      <c r="G26" s="8" t="inlineStr">
        <is>
          <t>Agent</t>
        </is>
      </c>
      <c r="H26" s="8" t="inlineStr">
        <is>
          <t>table count; declared keys on the profile</t>
        </is>
      </c>
      <c r="I26" s="8" t="inlineStr">
        <is>
          <t>-</t>
        </is>
      </c>
      <c r="J26" s="9" t="n"/>
      <c r="K26" s="9" t="n"/>
      <c r="L26" s="10" t="n"/>
      <c r="M26" s="10" t="n"/>
      <c r="N26" s="11" t="n"/>
      <c r="O26" s="10" t="n"/>
    </row>
    <row r="27" ht="45" customHeight="1">
      <c r="A27" s="7" t="inlineStr">
        <is>
          <t>SRC-06</t>
        </is>
      </c>
      <c r="B27" s="8" t="inlineStr">
        <is>
          <t>Data sources</t>
        </is>
      </c>
      <c r="C27" s="8" t="inlineStr">
        <is>
          <t>P1</t>
        </is>
      </c>
      <c r="D27" s="8" t="inlineStr">
        <is>
          <t>Test connection lists tables before copying</t>
        </is>
      </c>
      <c r="E27" s="8" t="inlineStr">
        <is>
          <t>SQLite: Test connection and list tables</t>
        </is>
      </c>
      <c r="F27" s="8" t="inlineStr">
        <is>
          <t>The 4 table names listed; nothing copied yet</t>
        </is>
      </c>
      <c r="G27" s="8" t="inlineStr">
        <is>
          <t>Agent</t>
        </is>
      </c>
      <c r="H27" s="8" t="inlineStr">
        <is>
          <t>list returned; source count unchanged</t>
        </is>
      </c>
      <c r="I27" s="8" t="inlineStr">
        <is>
          <t>-</t>
        </is>
      </c>
      <c r="J27" s="9" t="n"/>
      <c r="K27" s="9" t="n"/>
      <c r="L27" s="10" t="n"/>
      <c r="M27" s="10" t="n"/>
      <c r="N27" s="11" t="n"/>
      <c r="O27" s="10" t="n"/>
    </row>
    <row r="28" ht="45" customHeight="1">
      <c r="A28" s="7" t="inlineStr">
        <is>
          <t>SRC-07</t>
        </is>
      </c>
      <c r="B28" s="8" t="inlineStr">
        <is>
          <t>Data sources</t>
        </is>
      </c>
      <c r="C28" s="8" t="inlineStr">
        <is>
          <t>P2</t>
        </is>
      </c>
      <c r="D28" s="8" t="inlineStr">
        <is>
          <t>Broken files are reported, not fatal</t>
        </is>
      </c>
      <c r="E28" s="8" t="inlineStr">
        <is>
          <t>Add a folder with an empty CSV, a CSV with duplicate headers and one good CSV</t>
        </is>
      </c>
      <c r="F28" s="8" t="inlineStr">
        <is>
          <t>Good table profiled; the two broken ones reported</t>
        </is>
      </c>
      <c r="G28" s="8" t="inlineStr">
        <is>
          <t>Agent</t>
        </is>
      </c>
      <c r="H28" s="8" t="inlineStr">
        <is>
          <t>job done; 2 profile failures reported</t>
        </is>
      </c>
      <c r="I28" s="8" t="inlineStr">
        <is>
          <t>-</t>
        </is>
      </c>
      <c r="J28" s="9" t="n"/>
      <c r="K28" s="9" t="n"/>
      <c r="L28" s="10" t="n"/>
      <c r="M28" s="10" t="n"/>
      <c r="N28" s="11" t="n"/>
      <c r="O28" s="10" t="n"/>
    </row>
    <row r="29" ht="45" customHeight="1">
      <c r="A29" s="7" t="inlineStr">
        <is>
          <t>SRC-08</t>
        </is>
      </c>
      <c r="B29" s="8" t="inlineStr">
        <is>
          <t>Data sources</t>
        </is>
      </c>
      <c r="C29" s="8" t="inlineStr">
        <is>
          <t>P1</t>
        </is>
      </c>
      <c r="D29" s="8" t="inlineStr">
        <is>
          <t>Original files are never changed</t>
        </is>
      </c>
      <c r="E29" s="8" t="inlineStr">
        <is>
          <t>Hash the CSV, Excel and SQLite files before and after adding and refreshing</t>
        </is>
      </c>
      <c r="F29" s="8" t="inlineStr">
        <is>
          <t>Hashes identical</t>
        </is>
      </c>
      <c r="G29" s="8" t="inlineStr">
        <is>
          <t>Agent</t>
        </is>
      </c>
      <c r="H29" s="8" t="inlineStr">
        <is>
          <t>sha256 before and after</t>
        </is>
      </c>
      <c r="I29" s="8" t="inlineStr">
        <is>
          <t>-</t>
        </is>
      </c>
      <c r="J29" s="9" t="n"/>
      <c r="K29" s="9" t="n"/>
      <c r="L29" s="10" t="n"/>
      <c r="M29" s="10" t="n"/>
      <c r="N29" s="11" t="n"/>
      <c r="O29" s="10" t="n"/>
    </row>
    <row r="30" ht="45" customHeight="1">
      <c r="A30" s="7" t="inlineStr">
        <is>
          <t>SRC-09</t>
        </is>
      </c>
      <c r="B30" s="8" t="inlineStr">
        <is>
          <t>Data sources</t>
        </is>
      </c>
      <c r="C30" s="8" t="inlineStr">
        <is>
          <t>P1</t>
        </is>
      </c>
      <c r="D30" s="8" t="inlineStr">
        <is>
          <t>Refresh after the source changes</t>
        </is>
      </c>
      <c r="E30" s="8" t="inlineStr">
        <is>
          <t>Change one row in the SQLite file -&gt; Refresh</t>
        </is>
      </c>
      <c r="F30" s="8" t="inlineStr">
        <is>
          <t>Only the changed table reported as changed</t>
        </is>
      </c>
      <c r="G30" s="8" t="inlineStr">
        <is>
          <t>Agent</t>
        </is>
      </c>
      <c r="H30" s="8" t="inlineStr">
        <is>
          <t>changed_tables == [accounts]</t>
        </is>
      </c>
      <c r="I30" s="8" t="inlineStr">
        <is>
          <t>-</t>
        </is>
      </c>
      <c r="J30" s="9" t="n"/>
      <c r="K30" s="9" t="n"/>
      <c r="L30" s="10" t="n"/>
      <c r="M30" s="10" t="n"/>
      <c r="N30" s="11" t="n"/>
      <c r="O30" s="10" t="n"/>
    </row>
    <row r="31" ht="45" customHeight="1">
      <c r="A31" s="7" t="inlineStr">
        <is>
          <t>SRC-10</t>
        </is>
      </c>
      <c r="B31" s="8" t="inlineStr">
        <is>
          <t>Data sources</t>
        </is>
      </c>
      <c r="C31" s="8" t="inlineStr">
        <is>
          <t>P1</t>
        </is>
      </c>
      <c r="D31" s="8" t="inlineStr">
        <is>
          <t>SQL Server: test connection, add, refresh</t>
        </is>
      </c>
      <c r="E31" s="8" t="inlineStr">
        <is>
          <t>SQL Server tab -&gt; host, database, Windows sign-in -&gt; Test -&gt; Add</t>
        </is>
      </c>
      <c r="F31" s="8" t="inlineStr">
        <is>
          <t>Tables listed and copied read-only; declared keys kept; answers same as CSV</t>
        </is>
      </c>
      <c r="G31" s="8" t="inlineStr">
        <is>
          <t>Agent + server</t>
        </is>
      </c>
      <c r="H31" s="8" t="inlineStr">
        <is>
          <t>with --sqlserver: list, add and answer checks</t>
        </is>
      </c>
      <c r="I31" s="8" t="inlineStr">
        <is>
          <t>connects but some tables are skipped or keys missing (rights?)</t>
        </is>
      </c>
      <c r="J31" s="9" t="n"/>
      <c r="K31" s="9" t="n"/>
      <c r="L31" s="10" t="n"/>
      <c r="M31" s="10" t="n"/>
      <c r="N31" s="11" t="n"/>
      <c r="O31" s="10" t="n"/>
    </row>
    <row r="32" ht="45" customHeight="1">
      <c r="A32" s="7" t="inlineStr">
        <is>
          <t>SRC-11</t>
        </is>
      </c>
      <c r="B32" s="8" t="inlineStr">
        <is>
          <t>Data sources</t>
        </is>
      </c>
      <c r="C32" s="8" t="inlineStr">
        <is>
          <t>P2</t>
        </is>
      </c>
      <c r="D32" s="8" t="inlineStr">
        <is>
          <t>Oracle: test connection and add</t>
        </is>
      </c>
      <c r="E32" s="8" t="inlineStr">
        <is>
          <t>Oracle tab -&gt; host, service, user, password -&gt; Test -&gt; Add</t>
        </is>
      </c>
      <c r="F32" s="8" t="inlineStr">
        <is>
          <t>Tables listed and copied read-only</t>
        </is>
      </c>
      <c r="G32" s="8" t="inlineStr">
        <is>
          <t>Agent + server</t>
        </is>
      </c>
      <c r="H32" s="8" t="inlineStr">
        <is>
          <t>with --oracle</t>
        </is>
      </c>
      <c r="I32" s="8" t="inlineStr">
        <is>
          <t>-</t>
        </is>
      </c>
      <c r="J32" s="9" t="n"/>
      <c r="K32" s="9" t="n"/>
      <c r="L32" s="10" t="n"/>
      <c r="M32" s="10" t="n"/>
      <c r="N32" s="11" t="n"/>
      <c r="O32" s="10" t="n"/>
    </row>
    <row r="33" ht="45" customHeight="1">
      <c r="A33" s="7" t="inlineStr">
        <is>
          <t>SRC-12</t>
        </is>
      </c>
      <c r="B33" s="8" t="inlineStr">
        <is>
          <t>Data sources</t>
        </is>
      </c>
      <c r="C33" s="8" t="inlineStr">
        <is>
          <t>P2</t>
        </is>
      </c>
      <c r="D33" s="8" t="inlineStr">
        <is>
          <t>PostgreSQL: test connection and add</t>
        </is>
      </c>
      <c r="E33" s="8" t="inlineStr">
        <is>
          <t>PostgreSQL tab -&gt; details -&gt; Test -&gt; Add</t>
        </is>
      </c>
      <c r="F33" s="8" t="inlineStr">
        <is>
          <t>Tables listed and copied read-only</t>
        </is>
      </c>
      <c r="G33" s="8" t="inlineStr">
        <is>
          <t>Agent + server</t>
        </is>
      </c>
      <c r="H33" s="8" t="inlineStr">
        <is>
          <t>with --postgres</t>
        </is>
      </c>
      <c r="I33" s="8" t="inlineStr">
        <is>
          <t>-</t>
        </is>
      </c>
      <c r="J33" s="9" t="n"/>
      <c r="K33" s="9" t="n"/>
      <c r="L33" s="10" t="n"/>
      <c r="M33" s="10" t="n"/>
      <c r="N33" s="11" t="n"/>
      <c r="O33" s="10" t="n"/>
    </row>
    <row r="34" ht="45" customHeight="1">
      <c r="A34" s="7" t="inlineStr">
        <is>
          <t>SRC-13</t>
        </is>
      </c>
      <c r="B34" s="8" t="inlineStr">
        <is>
          <t>Data sources</t>
        </is>
      </c>
      <c r="C34" s="8" t="inlineStr">
        <is>
          <t>P2</t>
        </is>
      </c>
      <c r="D34" s="8" t="inlineStr">
        <is>
          <t>A missing database driver is explained</t>
        </is>
      </c>
      <c r="E34" s="8" t="inlineStr">
        <is>
          <t>Open the SQL Server tab without pymssql installed</t>
        </is>
      </c>
      <c r="F34" s="8" t="inlineStr">
        <is>
          <t>Message: pip install binggio[sqlserver]; Add is disabled</t>
        </is>
      </c>
      <c r="G34" s="8" t="inlineStr">
        <is>
          <t>Agent</t>
        </is>
      </c>
      <c r="H34" s="8" t="inlineStr">
        <is>
          <t>state reports driver missing; API error text</t>
        </is>
      </c>
      <c r="I34" s="8" t="inlineStr">
        <is>
          <t>-</t>
        </is>
      </c>
      <c r="J34" s="9" t="n"/>
      <c r="K34" s="9" t="n"/>
      <c r="L34" s="10" t="n"/>
      <c r="M34" s="10" t="n"/>
      <c r="N34" s="11" t="n"/>
      <c r="O34" s="10" t="n"/>
    </row>
    <row r="35" ht="45" customHeight="1">
      <c r="A35" s="7" t="inlineStr">
        <is>
          <t>DISC-01</t>
        </is>
      </c>
      <c r="B35" s="8" t="inlineStr">
        <is>
          <t>Discovery</t>
        </is>
      </c>
      <c r="C35" s="8" t="inlineStr">
        <is>
          <t>P1</t>
        </is>
      </c>
      <c r="D35" s="8" t="inlineStr">
        <is>
          <t>Own keys suggested correctly</t>
        </is>
      </c>
      <c r="E35" s="8" t="inlineStr">
        <is>
          <t>After adding the CSV export, look at suggested roles</t>
        </is>
      </c>
      <c r="F35" s="8" t="inlineStr">
        <is>
          <t>customers.customer_id, accounts.account_id, loans.loan_id, repayments.repayment_id suggested as primary keys</t>
        </is>
      </c>
      <c r="G35" s="8" t="inlineStr">
        <is>
          <t>Agent</t>
        </is>
      </c>
      <c r="H35" s="8" t="inlineStr">
        <is>
          <t>exact set</t>
        </is>
      </c>
      <c r="I35" s="8" t="inlineStr">
        <is>
          <t>-</t>
        </is>
      </c>
      <c r="J35" s="9" t="n"/>
      <c r="K35" s="9" t="n"/>
      <c r="L35" s="10" t="n"/>
      <c r="M35" s="10" t="n"/>
      <c r="N35" s="11" t="n"/>
      <c r="O35" s="10" t="n"/>
    </row>
    <row r="36" ht="45" customHeight="1">
      <c r="A36" s="7" t="inlineStr">
        <is>
          <t>DISC-02</t>
        </is>
      </c>
      <c r="B36" s="8" t="inlineStr">
        <is>
          <t>Discovery</t>
        </is>
      </c>
      <c r="C36" s="8" t="inlineStr">
        <is>
          <t>P1</t>
        </is>
      </c>
      <c r="D36" s="8" t="inlineStr">
        <is>
          <t>Links found, including a column not named *_id</t>
        </is>
      </c>
      <c r="E36" s="8" t="inlineStr">
        <is>
          <t>Look at candidate relationships</t>
        </is>
      </c>
      <c r="F36" s="8" t="inlineStr">
        <is>
          <t>accounts -&gt; customers, repayments -&gt; loans, loans.cust_ref -&gt; customers</t>
        </is>
      </c>
      <c r="G36" s="8" t="inlineStr">
        <is>
          <t>Agent</t>
        </is>
      </c>
      <c r="H36" s="8" t="inlineStr">
        <is>
          <t>required links present</t>
        </is>
      </c>
      <c r="I36" s="8" t="inlineStr">
        <is>
          <t>-</t>
        </is>
      </c>
      <c r="J36" s="9" t="n"/>
      <c r="K36" s="9" t="n"/>
      <c r="L36" s="10" t="n"/>
      <c r="M36" s="10" t="n"/>
      <c r="N36" s="11" t="n"/>
      <c r="O36" s="10" t="n"/>
    </row>
    <row r="37" ht="45" customHeight="1">
      <c r="A37" s="7" t="inlineStr">
        <is>
          <t>DISC-03</t>
        </is>
      </c>
      <c r="B37" s="8" t="inlineStr">
        <is>
          <t>Discovery</t>
        </is>
      </c>
      <c r="C37" s="8" t="inlineStr">
        <is>
          <t>P1</t>
        </is>
      </c>
      <c r="D37" s="8" t="inlineStr">
        <is>
          <t>No noise links</t>
        </is>
      </c>
      <c r="E37" s="8" t="inlineStr">
        <is>
          <t>Look at candidate relationships for the CSV export</t>
        </is>
      </c>
      <c r="F37" s="8" t="inlineStr">
        <is>
          <t>No links other than the 3 real ones</t>
        </is>
      </c>
      <c r="G37" s="8" t="inlineStr">
        <is>
          <t>Agent</t>
        </is>
      </c>
      <c r="H37" s="8" t="inlineStr">
        <is>
          <t>extra links counted</t>
        </is>
      </c>
      <c r="I37" s="8" t="inlineStr">
        <is>
          <t>an extra link scores 0.85-0.90 (pre-ticked for approval, could be wrong)</t>
        </is>
      </c>
      <c r="J37" s="9" t="n"/>
      <c r="K37" s="9" t="n"/>
      <c r="L37" s="10" t="n"/>
      <c r="M37" s="10" t="n"/>
      <c r="N37" s="11" t="n"/>
      <c r="O37" s="10" t="n"/>
    </row>
    <row r="38" ht="45" customHeight="1">
      <c r="A38" s="7" t="inlineStr">
        <is>
          <t>DISC-04</t>
        </is>
      </c>
      <c r="B38" s="8" t="inlineStr">
        <is>
          <t>Discovery</t>
        </is>
      </c>
      <c r="C38" s="8" t="inlineStr">
        <is>
          <t>P1</t>
        </is>
      </c>
      <c r="D38" s="8" t="inlineStr">
        <is>
          <t>Collections source (10 tables): links and keys</t>
        </is>
      </c>
      <c r="E38" s="8" t="inlineStr">
        <is>
          <t>Add the 10-table collections fixture to a workspace with the CSV bank</t>
        </is>
      </c>
      <c r="F38" s="8" t="inlineStr">
        <is>
          <t>The 11 verified links found; anything else scores under 0.85 and is left for a person; 10 of 10 own keys right</t>
        </is>
      </c>
      <c r="G38" s="8" t="inlineStr">
        <is>
          <t>Agent</t>
        </is>
      </c>
      <c r="H38" s="8" t="inlineStr">
        <is>
          <t>compared with the verified lists</t>
        </is>
      </c>
      <c r="I38" s="8" t="inlineStr">
        <is>
          <t>a link outside the verified list scores 0.85-0.90 (it would be pre-ticked for approval)</t>
        </is>
      </c>
      <c r="J38" s="9" t="n"/>
      <c r="K38" s="9" t="n"/>
      <c r="L38" s="10" t="n"/>
      <c r="M38" s="10" t="n"/>
      <c r="N38" s="11" t="n"/>
      <c r="O38" s="10" t="n"/>
    </row>
    <row r="39" ht="45" customHeight="1">
      <c r="A39" s="7" t="inlineStr">
        <is>
          <t>DISC-05</t>
        </is>
      </c>
      <c r="B39" s="8" t="inlineStr">
        <is>
          <t>Discovery</t>
        </is>
      </c>
      <c r="C39" s="8" t="inlineStr">
        <is>
          <t>P1</t>
        </is>
      </c>
      <c r="D39" s="8" t="inlineStr">
        <is>
          <t>Messy values match: " c0007 ", "1,234.50", BOM, semicolons</t>
        </is>
      </c>
      <c r="E39" s="8" t="inlineStr">
        <is>
          <t>Answers on the messy CSV export</t>
        </is>
      </c>
      <c r="F39" s="8" t="inlineStr">
        <is>
          <t>Answers equal the independent counts</t>
        </is>
      </c>
      <c r="G39" s="8" t="inlineStr">
        <is>
          <t>Agent</t>
        </is>
      </c>
      <c r="H39" s="8" t="inlineStr">
        <is>
          <t>compared with the independent counts</t>
        </is>
      </c>
      <c r="I39" s="8" t="inlineStr">
        <is>
          <t>-</t>
        </is>
      </c>
      <c r="J39" s="9" t="n"/>
      <c r="K39" s="9" t="n"/>
      <c r="L39" s="10" t="n"/>
      <c r="M39" s="10" t="n"/>
      <c r="N39" s="11" t="n"/>
      <c r="O39" s="10" t="n"/>
    </row>
    <row r="40" ht="45" customHeight="1">
      <c r="A40" s="7" t="inlineStr">
        <is>
          <t>ONB-01</t>
        </is>
      </c>
      <c r="B40" s="8" t="inlineStr">
        <is>
          <t>Onboarding</t>
        </is>
      </c>
      <c r="C40" s="8" t="inlineStr">
        <is>
          <t>P1</t>
        </is>
      </c>
      <c r="D40" s="8" t="inlineStr">
        <is>
          <t>Impact report classifies each table</t>
        </is>
      </c>
      <c r="E40" s="8" t="inlineStr">
        <is>
          <t>Onboard the CSV export</t>
        </is>
      </c>
      <c r="F40" s="8" t="inlineStr">
        <is>
          <t>Each table classified (new entity / lookup list / records) with a reason</t>
        </is>
      </c>
      <c r="G40" s="8" t="inlineStr">
        <is>
          <t>Agent</t>
        </is>
      </c>
      <c r="H40" s="8" t="inlineStr">
        <is>
          <t>every table has a kind and a reason</t>
        </is>
      </c>
      <c r="I40" s="8" t="inlineStr">
        <is>
          <t>-</t>
        </is>
      </c>
      <c r="J40" s="9" t="n"/>
      <c r="K40" s="9" t="n"/>
      <c r="L40" s="10" t="n"/>
      <c r="M40" s="10" t="n"/>
      <c r="N40" s="11" t="n"/>
      <c r="O40" s="10" t="n"/>
    </row>
    <row r="41" ht="45" customHeight="1">
      <c r="A41" s="7" t="inlineStr">
        <is>
          <t>ONB-02</t>
        </is>
      </c>
      <c r="B41" s="8" t="inlineStr">
        <is>
          <t>Onboarding</t>
        </is>
      </c>
      <c r="C41" s="8" t="inlineStr">
        <is>
          <t>P1</t>
        </is>
      </c>
      <c r="D41" s="8" t="inlineStr">
        <is>
          <t>A copy of an existing table is flagged as a duplicate and left out</t>
        </is>
      </c>
      <c r="E41" s="8" t="inlineStr">
        <is>
          <t>Onboard the collections source into the sample bank (borrower_profile is a copy of customer_master)</t>
        </is>
      </c>
      <c r="F41" s="8" t="inlineStr">
        <is>
          <t>Classified Duplicate; its columns are not offered for approval</t>
        </is>
      </c>
      <c r="G41" s="8" t="inlineStr">
        <is>
          <t>Agent</t>
        </is>
      </c>
      <c r="H41" s="8" t="inlineStr">
        <is>
          <t>kind == duplicate; table absent from step 1</t>
        </is>
      </c>
      <c r="I41" s="8" t="inlineStr">
        <is>
          <t>-</t>
        </is>
      </c>
      <c r="J41" s="9" t="n"/>
      <c r="K41" s="9" t="n"/>
      <c r="L41" s="10" t="n"/>
      <c r="M41" s="10" t="n"/>
      <c r="N41" s="11" t="n"/>
      <c r="O41" s="10" t="n"/>
    </row>
    <row r="42" ht="45" customHeight="1">
      <c r="A42" s="7" t="inlineStr">
        <is>
          <t>ONB-03</t>
        </is>
      </c>
      <c r="B42" s="8" t="inlineStr">
        <is>
          <t>Onboarding</t>
        </is>
      </c>
      <c r="C42" s="8" t="inlineStr">
        <is>
          <t>P1</t>
        </is>
      </c>
      <c r="D42" s="8" t="inlineStr">
        <is>
          <t>Approving the suggestions</t>
        </is>
      </c>
      <c r="E42" s="8" t="inlineStr">
        <is>
          <t>Onboard -&gt; Approve selected (with your name)</t>
        </is>
      </c>
      <c r="F42" s="8" t="inlineStr">
        <is>
          <t>21 roles, 3 links, 4 concepts approved; no errors</t>
        </is>
      </c>
      <c r="G42" s="8" t="inlineStr">
        <is>
          <t>Agent</t>
        </is>
      </c>
      <c r="H42" s="8" t="inlineStr">
        <is>
          <t>counts</t>
        </is>
      </c>
      <c r="I42" s="8" t="inlineStr">
        <is>
          <t>-</t>
        </is>
      </c>
      <c r="J42" s="9" t="n"/>
      <c r="K42" s="9" t="n"/>
      <c r="L42" s="10" t="n"/>
      <c r="M42" s="10" t="n"/>
      <c r="N42" s="11" t="n"/>
      <c r="O42" s="10" t="n"/>
    </row>
    <row r="43" ht="45" customHeight="1">
      <c r="A43" s="7" t="inlineStr">
        <is>
          <t>ONB-04</t>
        </is>
      </c>
      <c r="B43" s="8" t="inlineStr">
        <is>
          <t>Onboarding</t>
        </is>
      </c>
      <c r="C43" s="8" t="inlineStr">
        <is>
          <t>P1</t>
        </is>
      </c>
      <c r="D43" s="8" t="inlineStr">
        <is>
          <t>Words for a coded value become a business term</t>
        </is>
      </c>
      <c r="E43" s="8" t="inlineStr">
        <is>
          <t>Give "closed account" for accounts.status = CLOSED</t>
        </is>
      </c>
      <c r="F43" s="8" t="inlineStr">
        <is>
          <t>Term approved; a question using it filters status = CLOSED</t>
        </is>
      </c>
      <c r="G43" s="8" t="inlineStr">
        <is>
          <t>Agent</t>
        </is>
      </c>
      <c r="H43" s="8" t="inlineStr">
        <is>
          <t>term approved; plan with the term returns the CLOSED accounts</t>
        </is>
      </c>
      <c r="I43" s="8" t="inlineStr">
        <is>
          <t>-</t>
        </is>
      </c>
      <c r="J43" s="9" t="n"/>
      <c r="K43" s="9" t="n"/>
      <c r="L43" s="10" t="n"/>
      <c r="M43" s="10" t="n"/>
      <c r="N43" s="11" t="n"/>
      <c r="O43" s="10" t="n"/>
    </row>
    <row r="44" ht="45" customHeight="1">
      <c r="A44" s="7" t="inlineStr">
        <is>
          <t>ONB-05</t>
        </is>
      </c>
      <c r="B44" s="8" t="inlineStr">
        <is>
          <t>Onboarding</t>
        </is>
      </c>
      <c r="C44" s="8" t="inlineStr">
        <is>
          <t>P1</t>
        </is>
      </c>
      <c r="D44" s="8" t="inlineStr">
        <is>
          <t>Weak links are left for a person</t>
        </is>
      </c>
      <c r="E44" s="8" t="inlineStr">
        <is>
          <t>Onboard the collections source (cust_no -&gt; customer_kyc_profiles scores about 0.77)</t>
        </is>
      </c>
      <c r="F44" s="8" t="inlineStr">
        <is>
          <t>That link is unticked and stays waiting</t>
        </is>
      </c>
      <c r="G44" s="8" t="inlineStr">
        <is>
          <t>Agent</t>
        </is>
      </c>
      <c r="H44" s="8" t="inlineStr">
        <is>
          <t>suggested == false for scores &lt; 0.85; still pending after apply</t>
        </is>
      </c>
      <c r="I44" s="8" t="inlineStr">
        <is>
          <t>-</t>
        </is>
      </c>
      <c r="J44" s="9" t="n"/>
      <c r="K44" s="9" t="n"/>
      <c r="L44" s="10" t="n"/>
      <c r="M44" s="10" t="n"/>
      <c r="N44" s="11" t="n"/>
      <c r="O44" s="10" t="n"/>
    </row>
    <row r="45" ht="45" customHeight="1">
      <c r="A45" s="7" t="inlineStr">
        <is>
          <t>ONB-06</t>
        </is>
      </c>
      <c r="B45" s="8" t="inlineStr">
        <is>
          <t>Onboarding</t>
        </is>
      </c>
      <c r="C45" s="8" t="inlineStr">
        <is>
          <t>P1</t>
        </is>
      </c>
      <c r="D45" s="8" t="inlineStr">
        <is>
          <t>Decisions need a name</t>
        </is>
      </c>
      <c r="E45" s="8" t="inlineStr">
        <is>
          <t>Approve without entering a name</t>
        </is>
      </c>
      <c r="F45" s="8" t="inlineStr">
        <is>
          <t>Asked for a name; nothing recorded without one</t>
        </is>
      </c>
      <c r="G45" s="8" t="inlineStr">
        <is>
          <t>Agent</t>
        </is>
      </c>
      <c r="H45" s="8" t="inlineStr">
        <is>
          <t>HTTP 400; no new events</t>
        </is>
      </c>
      <c r="I45" s="8" t="inlineStr">
        <is>
          <t>-</t>
        </is>
      </c>
      <c r="J45" s="9" t="n"/>
      <c r="K45" s="9" t="n"/>
      <c r="L45" s="10" t="n"/>
      <c r="M45" s="10" t="n"/>
      <c r="N45" s="11" t="n"/>
      <c r="O45" s="10" t="n"/>
    </row>
    <row r="46" ht="45" customHeight="1">
      <c r="A46" s="7" t="inlineStr">
        <is>
          <t>REV-01</t>
        </is>
      </c>
      <c r="B46" s="8" t="inlineStr">
        <is>
          <t>Review</t>
        </is>
      </c>
      <c r="C46" s="8" t="inlineStr">
        <is>
          <t>P1</t>
        </is>
      </c>
      <c r="D46" s="8" t="inlineStr">
        <is>
          <t>Approve, revoke, reopen and re-approve a column role</t>
        </is>
      </c>
      <c r="E46" s="8" t="inlineStr">
        <is>
          <t>Review -&gt; Column roles -&gt; tick one -&gt; each action in turn</t>
        </is>
      </c>
      <c r="F46" s="8" t="inlineStr">
        <is>
          <t>Status moves Approved -&gt; Revoked -&gt; Waiting -&gt; Approved; each recorded</t>
        </is>
      </c>
      <c r="G46" s="8" t="inlineStr">
        <is>
          <t>Agent</t>
        </is>
      </c>
      <c r="H46" s="8" t="inlineStr">
        <is>
          <t>status after each action; history has 4 entries</t>
        </is>
      </c>
      <c r="I46" s="8" t="inlineStr">
        <is>
          <t>-</t>
        </is>
      </c>
      <c r="J46" s="9" t="n"/>
      <c r="K46" s="9" t="n"/>
      <c r="L46" s="10" t="n"/>
      <c r="M46" s="10" t="n"/>
      <c r="N46" s="11" t="n"/>
      <c r="O46" s="10" t="n"/>
    </row>
    <row r="47" ht="45" customHeight="1">
      <c r="A47" s="7" t="inlineStr">
        <is>
          <t>REV-02</t>
        </is>
      </c>
      <c r="B47" s="8" t="inlineStr">
        <is>
          <t>Review</t>
        </is>
      </c>
      <c r="C47" s="8" t="inlineStr">
        <is>
          <t>P1</t>
        </is>
      </c>
      <c r="D47" s="8" t="inlineStr">
        <is>
          <t>Change a role before approving</t>
        </is>
      </c>
      <c r="E47" s="8" t="inlineStr">
        <is>
          <t>Pick a different role in the list, then Approve</t>
        </is>
      </c>
      <c r="F47" s="8" t="inlineStr">
        <is>
          <t>The chosen role is stored</t>
        </is>
      </c>
      <c r="G47" s="8" t="inlineStr">
        <is>
          <t>Agent</t>
        </is>
      </c>
      <c r="H47" s="8" t="inlineStr">
        <is>
          <t>approved role equals the chosen one</t>
        </is>
      </c>
      <c r="I47" s="8" t="inlineStr">
        <is>
          <t>-</t>
        </is>
      </c>
      <c r="J47" s="9" t="n"/>
      <c r="K47" s="9" t="n"/>
      <c r="L47" s="10" t="n"/>
      <c r="M47" s="10" t="n"/>
      <c r="N47" s="11" t="n"/>
      <c r="O47" s="10" t="n"/>
    </row>
    <row r="48" ht="45" customHeight="1">
      <c r="A48" s="7" t="inlineStr">
        <is>
          <t>REV-03</t>
        </is>
      </c>
      <c r="B48" s="8" t="inlineStr">
        <is>
          <t>Review</t>
        </is>
      </c>
      <c r="C48" s="8" t="inlineStr">
        <is>
          <t>P1</t>
        </is>
      </c>
      <c r="D48" s="8" t="inlineStr">
        <is>
          <t>Same cycle for a relationship, with a kind</t>
        </is>
      </c>
      <c r="E48" s="8" t="inlineStr">
        <is>
          <t>Review -&gt; Relationships -&gt; revoke, reopen, approve as Many to one</t>
        </is>
      </c>
      <c r="F48" s="8" t="inlineStr">
        <is>
          <t>Recorded with the chosen kind</t>
        </is>
      </c>
      <c r="G48" s="8" t="inlineStr">
        <is>
          <t>Agent</t>
        </is>
      </c>
      <c r="H48" s="8" t="inlineStr">
        <is>
          <t>status and cardinality</t>
        </is>
      </c>
      <c r="I48" s="8" t="inlineStr">
        <is>
          <t>-</t>
        </is>
      </c>
      <c r="J48" s="9" t="n"/>
      <c r="K48" s="9" t="n"/>
      <c r="L48" s="10" t="n"/>
      <c r="M48" s="10" t="n"/>
      <c r="N48" s="11" t="n"/>
      <c r="O48" s="10" t="n"/>
    </row>
    <row r="49" ht="45" customHeight="1">
      <c r="A49" s="7" t="inlineStr">
        <is>
          <t>REV-04</t>
        </is>
      </c>
      <c r="B49" s="8" t="inlineStr">
        <is>
          <t>Review</t>
        </is>
      </c>
      <c r="C49" s="8" t="inlineStr">
        <is>
          <t>P1</t>
        </is>
      </c>
      <c r="D49" s="8" t="inlineStr">
        <is>
          <t>Same cycle for a business term and a concept</t>
        </is>
      </c>
      <c r="E49" s="8" t="inlineStr">
        <is>
          <t>Review -&gt; Business terms / concepts -&gt; Revoke, Reopen, Approve</t>
        </is>
      </c>
      <c r="F49" s="8" t="inlineStr">
        <is>
          <t>Each status change recorded</t>
        </is>
      </c>
      <c r="G49" s="8" t="inlineStr">
        <is>
          <t>Agent</t>
        </is>
      </c>
      <c r="H49" s="8" t="inlineStr">
        <is>
          <t>status after each action</t>
        </is>
      </c>
      <c r="I49" s="8" t="inlineStr">
        <is>
          <t>-</t>
        </is>
      </c>
      <c r="J49" s="9" t="n"/>
      <c r="K49" s="9" t="n"/>
      <c r="L49" s="10" t="n"/>
      <c r="M49" s="10" t="n"/>
      <c r="N49" s="11" t="n"/>
      <c r="O49" s="10" t="n"/>
    </row>
    <row r="50" ht="45" customHeight="1">
      <c r="A50" s="7" t="inlineStr">
        <is>
          <t>REV-05</t>
        </is>
      </c>
      <c r="B50" s="8" t="inlineStr">
        <is>
          <t>Review</t>
        </is>
      </c>
      <c r="C50" s="8" t="inlineStr">
        <is>
          <t>P1</t>
        </is>
      </c>
      <c r="D50" s="8" t="inlineStr">
        <is>
          <t>Bulk approve</t>
        </is>
      </c>
      <c r="E50" s="8" t="inlineStr">
        <is>
          <t>Tick 5 waiting roles -&gt; Approve</t>
        </is>
      </c>
      <c r="F50" s="8" t="inlineStr">
        <is>
          <t>5 recorded</t>
        </is>
      </c>
      <c r="G50" s="8" t="inlineStr">
        <is>
          <t>Agent</t>
        </is>
      </c>
      <c r="H50" s="8" t="inlineStr">
        <is>
          <t>done == 5</t>
        </is>
      </c>
      <c r="I50" s="8" t="inlineStr">
        <is>
          <t>-</t>
        </is>
      </c>
      <c r="J50" s="9" t="n"/>
      <c r="K50" s="9" t="n"/>
      <c r="L50" s="10" t="n"/>
      <c r="M50" s="10" t="n"/>
      <c r="N50" s="11" t="n"/>
      <c r="O50" s="10" t="n"/>
    </row>
    <row r="51" ht="45" customHeight="1">
      <c r="A51" s="7" t="inlineStr">
        <is>
          <t>REV-06</t>
        </is>
      </c>
      <c r="B51" s="8" t="inlineStr">
        <is>
          <t>Review</t>
        </is>
      </c>
      <c r="C51" s="8" t="inlineStr">
        <is>
          <t>P1</t>
        </is>
      </c>
      <c r="D51" s="8" t="inlineStr">
        <is>
          <t>Impossible actions are refused per item</t>
        </is>
      </c>
      <c r="E51" s="8" t="inlineStr">
        <is>
          <t>Reopen an item that is approved</t>
        </is>
      </c>
      <c r="F51" s="8" t="inlineStr">
        <is>
          <t>That item not changed, with the reason; others unaffected</t>
        </is>
      </c>
      <c r="G51" s="8" t="inlineStr">
        <is>
          <t>Agent</t>
        </is>
      </c>
      <c r="H51" s="8" t="inlineStr">
        <is>
          <t>done == 0 and an error per item</t>
        </is>
      </c>
      <c r="I51" s="8" t="inlineStr">
        <is>
          <t>-</t>
        </is>
      </c>
      <c r="J51" s="9" t="n"/>
      <c r="K51" s="9" t="n"/>
      <c r="L51" s="10" t="n"/>
      <c r="M51" s="10" t="n"/>
      <c r="N51" s="11" t="n"/>
      <c r="O51" s="10" t="n"/>
    </row>
    <row r="52" ht="45" customHeight="1">
      <c r="A52" s="7" t="inlineStr">
        <is>
          <t>REV-07</t>
        </is>
      </c>
      <c r="B52" s="8" t="inlineStr">
        <is>
          <t>Review</t>
        </is>
      </c>
      <c r="C52" s="8" t="inlineStr">
        <is>
          <t>P1</t>
        </is>
      </c>
      <c r="D52" s="8" t="inlineStr">
        <is>
          <t>Revoking a link stops answers that need it</t>
        </is>
      </c>
      <c r="E52" s="8" t="inlineStr">
        <is>
          <t>Revoke accounts -&gt; customers, ask open balance by segment</t>
        </is>
      </c>
      <c r="F52" s="8" t="inlineStr">
        <is>
          <t>Not answered (the link is not approved)</t>
        </is>
      </c>
      <c r="G52" s="8" t="inlineStr">
        <is>
          <t>Agent</t>
        </is>
      </c>
      <c r="H52" s="8" t="inlineStr">
        <is>
          <t>refused</t>
        </is>
      </c>
      <c r="I52" s="8" t="inlineStr">
        <is>
          <t>answered through another approved path (is that path right?)</t>
        </is>
      </c>
      <c r="J52" s="9" t="n"/>
      <c r="K52" s="9" t="n"/>
      <c r="L52" s="10" t="n"/>
      <c r="M52" s="10" t="n"/>
      <c r="N52" s="11" t="n"/>
      <c r="O52" s="10" t="n"/>
    </row>
    <row r="53" ht="45" customHeight="1">
      <c r="A53" s="7" t="inlineStr">
        <is>
          <t>REV-08</t>
        </is>
      </c>
      <c r="B53" s="8" t="inlineStr">
        <is>
          <t>Review</t>
        </is>
      </c>
      <c r="C53" s="8" t="inlineStr">
        <is>
          <t>P1</t>
        </is>
      </c>
      <c r="D53" s="8" t="inlineStr">
        <is>
          <t>Activity shows every decision with name and note</t>
        </is>
      </c>
      <c r="E53" s="8" t="inlineStr">
        <is>
          <t>Open Activity</t>
        </is>
      </c>
      <c r="F53" s="8" t="inlineStr">
        <is>
          <t>All decisions from this run, newest first, with names and notes</t>
        </is>
      </c>
      <c r="G53" s="8" t="inlineStr">
        <is>
          <t>Agent</t>
        </is>
      </c>
      <c r="H53" s="8" t="inlineStr">
        <is>
          <t>events from this run present with actor and note</t>
        </is>
      </c>
      <c r="I53" s="8" t="inlineStr">
        <is>
          <t>-</t>
        </is>
      </c>
      <c r="J53" s="9" t="n"/>
      <c r="K53" s="9" t="n"/>
      <c r="L53" s="10" t="n"/>
      <c r="M53" s="10" t="n"/>
      <c r="N53" s="11" t="n"/>
      <c r="O53" s="10" t="n"/>
    </row>
    <row r="54" ht="45" customHeight="1">
      <c r="A54" s="7" t="inlineStr">
        <is>
          <t>CHG-01</t>
        </is>
      </c>
      <c r="B54" s="8" t="inlineStr">
        <is>
          <t>Data changes</t>
        </is>
      </c>
      <c r="C54" s="8" t="inlineStr">
        <is>
          <t>P1</t>
        </is>
      </c>
      <c r="D54" s="8" t="inlineStr">
        <is>
          <t>Changed data makes its approvals stale</t>
        </is>
      </c>
      <c r="E54" s="8" t="inlineStr">
        <is>
          <t>Change the source, refresh, profile</t>
        </is>
      </c>
      <c r="F54" s="8" t="inlineStr">
        <is>
          <t>Only the changed table's approvals show Data changed</t>
        </is>
      </c>
      <c r="G54" s="8" t="inlineStr">
        <is>
          <t>Agent</t>
        </is>
      </c>
      <c r="H54" s="8" t="inlineStr">
        <is>
          <t>stale count &gt; 0 and only for that table</t>
        </is>
      </c>
      <c r="I54" s="8" t="inlineStr">
        <is>
          <t>-</t>
        </is>
      </c>
      <c r="J54" s="9" t="n"/>
      <c r="K54" s="9" t="n"/>
      <c r="L54" s="10" t="n"/>
      <c r="M54" s="10" t="n"/>
      <c r="N54" s="11" t="n"/>
      <c r="O54" s="10" t="n"/>
    </row>
    <row r="55" ht="45" customHeight="1">
      <c r="A55" s="7" t="inlineStr">
        <is>
          <t>CHG-02</t>
        </is>
      </c>
      <c r="B55" s="8" t="inlineStr">
        <is>
          <t>Data changes</t>
        </is>
      </c>
      <c r="C55" s="8" t="inlineStr">
        <is>
          <t>P1</t>
        </is>
      </c>
      <c r="D55" s="8" t="inlineStr">
        <is>
          <t>Stale approvals are not used for answers</t>
        </is>
      </c>
      <c r="E55" s="8" t="inlineStr">
        <is>
          <t>Ask a question needing the changed table</t>
        </is>
      </c>
      <c r="F55" s="8" t="inlineStr">
        <is>
          <t>Not answered, with the reason</t>
        </is>
      </c>
      <c r="G55" s="8" t="inlineStr">
        <is>
          <t>Agent</t>
        </is>
      </c>
      <c r="H55" s="8" t="inlineStr">
        <is>
          <t>refused</t>
        </is>
      </c>
      <c r="I55" s="8" t="inlineStr">
        <is>
          <t>-</t>
        </is>
      </c>
      <c r="J55" s="9" t="n"/>
      <c r="K55" s="9" t="n"/>
      <c r="L55" s="10" t="n"/>
      <c r="M55" s="10" t="n"/>
      <c r="N55" s="11" t="n"/>
      <c r="O55" s="10" t="n"/>
    </row>
    <row r="56" ht="45" customHeight="1">
      <c r="A56" s="7" t="inlineStr">
        <is>
          <t>CHG-03</t>
        </is>
      </c>
      <c r="B56" s="8" t="inlineStr">
        <is>
          <t>Data changes</t>
        </is>
      </c>
      <c r="C56" s="8" t="inlineStr">
        <is>
          <t>P1</t>
        </is>
      </c>
      <c r="D56" s="8" t="inlineStr">
        <is>
          <t>Re-approving restores answers</t>
        </is>
      </c>
      <c r="E56" s="8" t="inlineStr">
        <is>
          <t>Approve the stale items again, ask again</t>
        </is>
      </c>
      <c r="F56" s="8" t="inlineStr">
        <is>
          <t>Answered, using the new data</t>
        </is>
      </c>
      <c r="G56" s="8" t="inlineStr">
        <is>
          <t>Agent</t>
        </is>
      </c>
      <c r="H56" s="8" t="inlineStr">
        <is>
          <t>answer equals the count on the new data</t>
        </is>
      </c>
      <c r="I56" s="8" t="inlineStr">
        <is>
          <t>-</t>
        </is>
      </c>
      <c r="J56" s="9" t="n"/>
      <c r="K56" s="9" t="n"/>
      <c r="L56" s="10" t="n"/>
      <c r="M56" s="10" t="n"/>
      <c r="N56" s="11" t="n"/>
      <c r="O56" s="10" t="n"/>
    </row>
    <row r="57" ht="45" customHeight="1">
      <c r="A57" s="7" t="inlineStr">
        <is>
          <t>CHG-04</t>
        </is>
      </c>
      <c r="B57" s="8" t="inlineStr">
        <is>
          <t>Data changes</t>
        </is>
      </c>
      <c r="C57" s="8" t="inlineStr">
        <is>
          <t>P1</t>
        </is>
      </c>
      <c r="D57" s="8" t="inlineStr">
        <is>
          <t>Touching files without changing them keeps approvals</t>
        </is>
      </c>
      <c r="E57" s="8" t="inlineStr">
        <is>
          <t>Change file times only</t>
        </is>
      </c>
      <c r="F57" s="8" t="inlineStr">
        <is>
          <t>Nothing becomes stale</t>
        </is>
      </c>
      <c r="G57" s="8" t="inlineStr">
        <is>
          <t>Agent</t>
        </is>
      </c>
      <c r="H57" s="8" t="inlineStr">
        <is>
          <t>stale == 0</t>
        </is>
      </c>
      <c r="I57" s="8" t="inlineStr">
        <is>
          <t>-</t>
        </is>
      </c>
      <c r="J57" s="9" t="n"/>
      <c r="K57" s="9" t="n"/>
      <c r="L57" s="10" t="n"/>
      <c r="M57" s="10" t="n"/>
      <c r="N57" s="11" t="n"/>
      <c r="O57" s="10" t="n"/>
    </row>
    <row r="58" ht="45" customHeight="1">
      <c r="A58" s="7" t="inlineStr">
        <is>
          <t>ASK-01</t>
        </is>
      </c>
      <c r="B58" s="8" t="inlineStr">
        <is>
          <t>Ask</t>
        </is>
      </c>
      <c r="C58" s="8" t="inlineStr">
        <is>
          <t>P1</t>
        </is>
      </c>
      <c r="D58" s="8" t="inlineStr">
        <is>
          <t>Answers on your own data equal independent counts</t>
        </is>
      </c>
      <c r="E58" s="8" t="inlineStr">
        <is>
          <t>Ask the 7 checked questions on the CSV export</t>
        </is>
      </c>
      <c r="F58" s="8" t="inlineStr">
        <is>
          <t>All 7 equal the independent counts</t>
        </is>
      </c>
      <c r="G58" s="8" t="inlineStr">
        <is>
          <t>Agent</t>
        </is>
      </c>
      <c r="H58" s="8" t="inlineStr">
        <is>
          <t>compared with the independent counts</t>
        </is>
      </c>
      <c r="I58" s="8" t="inlineStr">
        <is>
          <t>-</t>
        </is>
      </c>
      <c r="J58" s="9" t="n"/>
      <c r="K58" s="9" t="n"/>
      <c r="L58" s="10" t="n"/>
      <c r="M58" s="10" t="n"/>
      <c r="N58" s="11" t="n"/>
      <c r="O58" s="10" t="n"/>
    </row>
    <row r="59" ht="45" customHeight="1">
      <c r="A59" s="7" t="inlineStr">
        <is>
          <t>ASK-02</t>
        </is>
      </c>
      <c r="B59" s="8" t="inlineStr">
        <is>
          <t>Ask</t>
        </is>
      </c>
      <c r="C59" s="8" t="inlineStr">
        <is>
          <t>P1</t>
        </is>
      </c>
      <c r="D59" s="8" t="inlineStr">
        <is>
          <t>CSV, Excel and SQLite give identical answers</t>
        </is>
      </c>
      <c r="E59" s="8" t="inlineStr">
        <is>
          <t>Ask the same 7 on each source</t>
        </is>
      </c>
      <c r="F59" s="8" t="inlineStr">
        <is>
          <t>Identical</t>
        </is>
      </c>
      <c r="G59" s="8" t="inlineStr">
        <is>
          <t>Agent</t>
        </is>
      </c>
      <c r="H59" s="8" t="inlineStr">
        <is>
          <t>equality</t>
        </is>
      </c>
      <c r="I59" s="8" t="inlineStr">
        <is>
          <t>-</t>
        </is>
      </c>
      <c r="J59" s="9" t="n"/>
      <c r="K59" s="9" t="n"/>
      <c r="L59" s="10" t="n"/>
      <c r="M59" s="10" t="n"/>
      <c r="N59" s="11" t="n"/>
      <c r="O59" s="10" t="n"/>
    </row>
    <row r="60" ht="45" customHeight="1">
      <c r="A60" s="7" t="inlineStr">
        <is>
          <t>ASK-03</t>
        </is>
      </c>
      <c r="B60" s="8" t="inlineStr">
        <is>
          <t>Ask</t>
        </is>
      </c>
      <c r="C60" s="8" t="inlineStr">
        <is>
          <t>P1</t>
        </is>
      </c>
      <c r="D60" s="8" t="inlineStr">
        <is>
          <t>Long lists show 200 rows and the total</t>
        </is>
      </c>
      <c r="E60" s="8" t="inlineStr">
        <is>
          <t>Ask for all loans of a 300,000-row table</t>
        </is>
      </c>
      <c r="F60" s="8" t="inlineStr">
        <is>
          <t>200 rows shown, total given</t>
        </is>
      </c>
      <c r="G60" s="8" t="inlineStr">
        <is>
          <t>Agent</t>
        </is>
      </c>
      <c r="H60" s="8" t="inlineStr">
        <is>
          <t>rows == 200 and row_count == total</t>
        </is>
      </c>
      <c r="I60" s="8" t="inlineStr">
        <is>
          <t>-</t>
        </is>
      </c>
      <c r="J60" s="9" t="n"/>
      <c r="K60" s="9" t="n"/>
      <c r="L60" s="10" t="n"/>
      <c r="M60" s="10" t="n"/>
      <c r="N60" s="11" t="n"/>
      <c r="O60" s="10" t="n"/>
    </row>
    <row r="61" ht="45" customHeight="1">
      <c r="A61" s="7" t="inlineStr">
        <is>
          <t>ASK-04</t>
        </is>
      </c>
      <c r="B61" s="8" t="inlineStr">
        <is>
          <t>Ask</t>
        </is>
      </c>
      <c r="C61" s="8" t="inlineStr">
        <is>
          <t>P1</t>
        </is>
      </c>
      <c r="D61" s="8" t="inlineStr">
        <is>
          <t>Nothing approved: the message says what to do</t>
        </is>
      </c>
      <c r="E61" s="8" t="inlineStr">
        <is>
          <t>Ask in a new workspace with nothing approved</t>
        </is>
      </c>
      <c r="F61" s="8" t="inlineStr">
        <is>
          <t>Not answered: approve column roles and relationships first</t>
        </is>
      </c>
      <c r="G61" s="8" t="inlineStr">
        <is>
          <t>Agent</t>
        </is>
      </c>
      <c r="H61" s="8" t="inlineStr">
        <is>
          <t>refusal code NOTHING_APPROVED</t>
        </is>
      </c>
      <c r="I61" s="8" t="inlineStr">
        <is>
          <t>-</t>
        </is>
      </c>
      <c r="J61" s="9" t="n"/>
      <c r="K61" s="9" t="n"/>
      <c r="L61" s="10" t="n"/>
      <c r="M61" s="10" t="n"/>
      <c r="N61" s="11" t="n"/>
      <c r="O61" s="10" t="n"/>
    </row>
    <row r="62" ht="45" customHeight="1">
      <c r="A62" s="7" t="inlineStr">
        <is>
          <t>ASK-05</t>
        </is>
      </c>
      <c r="B62" s="8" t="inlineStr">
        <is>
          <t>Ask</t>
        </is>
      </c>
      <c r="C62" s="8" t="inlineStr">
        <is>
          <t>P1</t>
        </is>
      </c>
      <c r="D62" s="8" t="inlineStr">
        <is>
          <t>Follow-up without a previous answer is refused</t>
        </is>
      </c>
      <c r="E62" s="8" t="inlineStr">
        <is>
          <t>Start a new conversation and ask "which of these ..."</t>
        </is>
      </c>
      <c r="F62" s="8" t="inlineStr">
        <is>
          <t>Not answered: no previous result</t>
        </is>
      </c>
      <c r="G62" s="8" t="inlineStr">
        <is>
          <t>Agent</t>
        </is>
      </c>
      <c r="H62" s="8" t="inlineStr">
        <is>
          <t>refusal code COHORT_NOT_AVAILABLE</t>
        </is>
      </c>
      <c r="I62" s="8" t="inlineStr">
        <is>
          <t>-</t>
        </is>
      </c>
      <c r="J62" s="9" t="n"/>
      <c r="K62" s="9" t="n"/>
      <c r="L62" s="10" t="n"/>
      <c r="M62" s="10" t="n"/>
      <c r="N62" s="11" t="n"/>
      <c r="O62" s="10" t="n"/>
    </row>
    <row r="63" ht="45" customHeight="1">
      <c r="A63" s="7" t="inlineStr">
        <is>
          <t>NL-01</t>
        </is>
      </c>
      <c r="B63" s="8" t="inlineStr">
        <is>
          <t>Ask (own words)</t>
        </is>
      </c>
      <c r="C63" s="8" t="inlineStr">
        <is>
          <t>P1</t>
        </is>
      </c>
      <c r="D63" s="8" t="inlineStr">
        <is>
          <t>Clear questions on the sample bank</t>
        </is>
      </c>
      <c r="E63" s="8" t="inlineStr">
        <is>
          <t>Ask 8 clearly worded questions with a model key</t>
        </is>
      </c>
      <c r="F63" s="8" t="inlineStr">
        <is>
          <t>Each answer equals the verified answer</t>
        </is>
      </c>
      <c r="G63" s="8" t="inlineStr">
        <is>
          <t>Agent + model</t>
        </is>
      </c>
      <c r="H63" s="8" t="inlineStr">
        <is>
          <t>rows compared with the verified answers</t>
        </is>
      </c>
      <c r="I63" s="8" t="inlineStr">
        <is>
          <t>the right rows plus extra rows or columns, or refused with a reason (wording or engine?)</t>
        </is>
      </c>
      <c r="J63" s="9" t="n"/>
      <c r="K63" s="9" t="n"/>
      <c r="L63" s="10" t="n"/>
      <c r="M63" s="10" t="n"/>
      <c r="N63" s="11" t="n"/>
      <c r="O63" s="10" t="n"/>
    </row>
    <row r="64" ht="45" customHeight="1">
      <c r="A64" s="7" t="inlineStr">
        <is>
          <t>NL-02</t>
        </is>
      </c>
      <c r="B64" s="8" t="inlineStr">
        <is>
          <t>Ask (own words)</t>
        </is>
      </c>
      <c r="C64" s="8" t="inlineStr">
        <is>
          <t>P1</t>
        </is>
      </c>
      <c r="D64" s="8" t="inlineStr">
        <is>
          <t>Badly worded questions (typos, shorthand, no punctuation)</t>
        </is>
      </c>
      <c r="E64" s="8" t="inlineStr">
        <is>
          <t>Ask 6 sloppy versions of verified questions</t>
        </is>
      </c>
      <c r="F64" s="8" t="inlineStr">
        <is>
          <t>Same answers as the clean versions</t>
        </is>
      </c>
      <c r="G64" s="8" t="inlineStr">
        <is>
          <t>Agent + model</t>
        </is>
      </c>
      <c r="H64" s="8" t="inlineStr">
        <is>
          <t>rows compared with the verified answers</t>
        </is>
      </c>
      <c r="I64" s="8" t="inlineStr">
        <is>
          <t>refused, or partly right</t>
        </is>
      </c>
      <c r="J64" s="9" t="n"/>
      <c r="K64" s="9" t="n"/>
      <c r="L64" s="10" t="n"/>
      <c r="M64" s="10" t="n"/>
      <c r="N64" s="11" t="n"/>
      <c r="O64" s="10" t="n"/>
    </row>
    <row r="65" ht="45" customHeight="1">
      <c r="A65" s="7" t="inlineStr">
        <is>
          <t>NL-03</t>
        </is>
      </c>
      <c r="B65" s="8" t="inlineStr">
        <is>
          <t>Ask (own words)</t>
        </is>
      </c>
      <c r="C65" s="8" t="inlineStr">
        <is>
          <t>P1</t>
        </is>
      </c>
      <c r="D65" s="8" t="inlineStr">
        <is>
          <t>Questions with two possible meanings are not guessed</t>
        </is>
      </c>
      <c r="E65" s="8" t="inlineStr">
        <is>
          <t>Ask "show revenue", "KYC status of customers"</t>
        </is>
      </c>
      <c r="F65" s="8" t="inlineStr">
        <is>
          <t>Not answered; asks which meaning</t>
        </is>
      </c>
      <c r="G65" s="8" t="inlineStr">
        <is>
          <t>Agent + model</t>
        </is>
      </c>
      <c r="H65" s="8" t="inlineStr">
        <is>
          <t>refused as ambiguous</t>
        </is>
      </c>
      <c r="I65" s="8" t="inlineStr">
        <is>
          <t>answered (which meaning did it choose, and is that acceptable?)</t>
        </is>
      </c>
      <c r="J65" s="9" t="n"/>
      <c r="K65" s="9" t="n"/>
      <c r="L65" s="10" t="n"/>
      <c r="M65" s="10" t="n"/>
      <c r="N65" s="11" t="n"/>
      <c r="O65" s="10" t="n"/>
    </row>
    <row r="66" ht="45" customHeight="1">
      <c r="A66" s="7" t="inlineStr">
        <is>
          <t>NL-04</t>
        </is>
      </c>
      <c r="B66" s="8" t="inlineStr">
        <is>
          <t>Ask (own words)</t>
        </is>
      </c>
      <c r="C66" s="8" t="inlineStr">
        <is>
          <t>P1</t>
        </is>
      </c>
      <c r="D66" s="8" t="inlineStr">
        <is>
          <t>Questions the data cannot answer are refused</t>
        </is>
      </c>
      <c r="E66" s="8" t="inlineStr">
        <is>
          <t>Ask about data that does not exist (credit card limits, employee salaries)</t>
        </is>
      </c>
      <c r="F66" s="8" t="inlineStr">
        <is>
          <t>Not answered, with the reason</t>
        </is>
      </c>
      <c r="G66" s="8" t="inlineStr">
        <is>
          <t>Agent + model</t>
        </is>
      </c>
      <c r="H66" s="8" t="inlineStr">
        <is>
          <t>refused</t>
        </is>
      </c>
      <c r="I66" s="8" t="inlineStr">
        <is>
          <t>answered from a column that might be related</t>
        </is>
      </c>
      <c r="J66" s="9" t="n"/>
      <c r="K66" s="9" t="n"/>
      <c r="L66" s="10" t="n"/>
      <c r="M66" s="10" t="n"/>
      <c r="N66" s="11" t="n"/>
      <c r="O66" s="10" t="n"/>
    </row>
    <row r="67" ht="45" customHeight="1">
      <c r="A67" s="7" t="inlineStr">
        <is>
          <t>NL-05</t>
        </is>
      </c>
      <c r="B67" s="8" t="inlineStr">
        <is>
          <t>Ask (own words)</t>
        </is>
      </c>
      <c r="C67" s="8" t="inlineStr">
        <is>
          <t>P1</t>
        </is>
      </c>
      <c r="D67" s="8" t="inlineStr">
        <is>
          <t>The same question twice gives the same answer</t>
        </is>
      </c>
      <c r="E67" s="8" t="inlineStr">
        <is>
          <t>Ask one question twice in new conversations</t>
        </is>
      </c>
      <c r="F67" s="8" t="inlineStr">
        <is>
          <t>Identical rows</t>
        </is>
      </c>
      <c r="G67" s="8" t="inlineStr">
        <is>
          <t>Agent + model</t>
        </is>
      </c>
      <c r="H67" s="8" t="inlineStr">
        <is>
          <t>equality</t>
        </is>
      </c>
      <c r="I67" s="8" t="inlineStr">
        <is>
          <t>different rows</t>
        </is>
      </c>
      <c r="J67" s="9" t="n"/>
      <c r="K67" s="9" t="n"/>
      <c r="L67" s="10" t="n"/>
      <c r="M67" s="10" t="n"/>
      <c r="N67" s="11" t="n"/>
      <c r="O67" s="10" t="n"/>
    </row>
    <row r="68" ht="45" customHeight="1">
      <c r="A68" s="7" t="inlineStr">
        <is>
          <t>NL-06</t>
        </is>
      </c>
      <c r="B68" s="8" t="inlineStr">
        <is>
          <t>Ask (own words)</t>
        </is>
      </c>
      <c r="C68" s="8" t="inlineStr">
        <is>
          <t>P1</t>
        </is>
      </c>
      <c r="D68" s="8" t="inlineStr">
        <is>
          <t>Follow-ups in your own words</t>
        </is>
      </c>
      <c r="E68" s="8" t="inlineStr">
        <is>
          <t>"Top 10 loans by outstanding balance" then "which of these are delinquent"</t>
        </is>
      </c>
      <c r="F68" s="8" t="inlineStr">
        <is>
          <t>10 then 9 loans</t>
        </is>
      </c>
      <c r="G68" s="8" t="inlineStr">
        <is>
          <t>Agent + model</t>
        </is>
      </c>
      <c r="H68" s="8" t="inlineStr">
        <is>
          <t>ids</t>
        </is>
      </c>
      <c r="I68" s="8" t="inlineStr">
        <is>
          <t>second step refused</t>
        </is>
      </c>
      <c r="J68" s="9" t="n"/>
      <c r="K68" s="9" t="n"/>
      <c r="L68" s="10" t="n"/>
      <c r="M68" s="10" t="n"/>
      <c r="N68" s="11" t="n"/>
      <c r="O68" s="10" t="n"/>
    </row>
    <row r="69" ht="45" customHeight="1">
      <c r="A69" s="7" t="inlineStr">
        <is>
          <t>MCP-01</t>
        </is>
      </c>
      <c r="B69" s="8" t="inlineStr">
        <is>
          <t>AI agents</t>
        </is>
      </c>
      <c r="C69" s="8" t="inlineStr">
        <is>
          <t>P1</t>
        </is>
      </c>
      <c r="D69" s="8" t="inlineStr">
        <is>
          <t>An agent gets governed answers through binggio mcp</t>
        </is>
      </c>
      <c r="E69" s="8" t="inlineStr">
        <is>
          <t>Start the installed binggio mcp on the sample bank; as an MCP client: initialize, list tools, describe, run a plan, try an invented column, propose a term</t>
        </is>
      </c>
      <c r="F69" s="8" t="inlineStr">
        <is>
          <t>Verified answer with sources; invented column refused; proposal saved as a draft; no tool can approve</t>
        </is>
      </c>
      <c r="G69" s="8" t="inlineStr">
        <is>
          <t>Agent</t>
        </is>
      </c>
      <c r="H69" s="8" t="inlineStr">
        <is>
          <t>protocol replies, rows compared with the verified answer, registry state</t>
        </is>
      </c>
      <c r="I69" s="8" t="inlineStr">
        <is>
          <t>-</t>
        </is>
      </c>
      <c r="J69" s="9" t="n"/>
      <c r="K69" s="9" t="n"/>
      <c r="L69" s="10" t="n"/>
      <c r="M69" s="10" t="n"/>
      <c r="N69" s="11" t="n"/>
      <c r="O69" s="10" t="n"/>
    </row>
    <row r="70" ht="45" customHeight="1">
      <c r="A70" s="7" t="inlineStr">
        <is>
          <t>SAFE-01</t>
        </is>
      </c>
      <c r="B70" s="8" t="inlineStr">
        <is>
          <t>Safety</t>
        </is>
      </c>
      <c r="C70" s="8" t="inlineStr">
        <is>
          <t>P1</t>
        </is>
      </c>
      <c r="D70" s="8" t="inlineStr">
        <is>
          <t>A model key typed in the app is not written to disk</t>
        </is>
      </c>
      <c r="E70" s="8" t="inlineStr">
        <is>
          <t>Settings -&gt; paste a key -&gt; use it; search the workspace and home folder</t>
        </is>
      </c>
      <c r="F70" s="8" t="inlineStr">
        <is>
          <t>Key not found in any file</t>
        </is>
      </c>
      <c r="G70" s="8" t="inlineStr">
        <is>
          <t>Agent</t>
        </is>
      </c>
      <c r="H70" s="8" t="inlineStr">
        <is>
          <t>byte search of every file</t>
        </is>
      </c>
      <c r="I70" s="8" t="inlineStr">
        <is>
          <t>-</t>
        </is>
      </c>
      <c r="J70" s="9" t="n"/>
      <c r="K70" s="9" t="n"/>
      <c r="L70" s="10" t="n"/>
      <c r="M70" s="10" t="n"/>
      <c r="N70" s="11" t="n"/>
      <c r="O70" s="10" t="n"/>
    </row>
    <row r="71" ht="45" customHeight="1">
      <c r="A71" s="7" t="inlineStr">
        <is>
          <t>SAFE-02</t>
        </is>
      </c>
      <c r="B71" s="8" t="inlineStr">
        <is>
          <t>Safety</t>
        </is>
      </c>
      <c r="C71" s="8" t="inlineStr">
        <is>
          <t>P1</t>
        </is>
      </c>
      <c r="D71" s="8" t="inlineStr">
        <is>
          <t>A database password typed in the app is not written to disk</t>
        </is>
      </c>
      <c r="E71" s="8" t="inlineStr">
        <is>
          <t>Add a database with a password; search the workspace</t>
        </is>
      </c>
      <c r="F71" s="8" t="inlineStr">
        <is>
          <t>Password not found in any file</t>
        </is>
      </c>
      <c r="G71" s="8" t="inlineStr">
        <is>
          <t>Agent</t>
        </is>
      </c>
      <c r="H71" s="8" t="inlineStr">
        <is>
          <t>byte search of every file</t>
        </is>
      </c>
      <c r="I71" s="8" t="inlineStr">
        <is>
          <t>-</t>
        </is>
      </c>
      <c r="J71" s="9" t="n"/>
      <c r="K71" s="9" t="n"/>
      <c r="L71" s="10" t="n"/>
      <c r="M71" s="10" t="n"/>
      <c r="N71" s="11" t="n"/>
      <c r="O71" s="10" t="n"/>
    </row>
    <row r="72" ht="45" customHeight="1">
      <c r="A72" s="7" t="inlineStr">
        <is>
          <t>SAFE-03</t>
        </is>
      </c>
      <c r="B72" s="8" t="inlineStr">
        <is>
          <t>Safety</t>
        </is>
      </c>
      <c r="C72" s="8" t="inlineStr">
        <is>
          <t>P1</t>
        </is>
      </c>
      <c r="D72" s="8" t="inlineStr">
        <is>
          <t>Moving the workspace keeps every approval</t>
        </is>
      </c>
      <c r="E72" s="8" t="inlineStr">
        <is>
          <t>Copy the workspace folder elsewhere and open it</t>
        </is>
      </c>
      <c r="F72" s="8" t="inlineStr">
        <is>
          <t>Same approvals, same answers</t>
        </is>
      </c>
      <c r="G72" s="8" t="inlineStr">
        <is>
          <t>Agent</t>
        </is>
      </c>
      <c r="H72" s="8" t="inlineStr">
        <is>
          <t>status and answers equal</t>
        </is>
      </c>
      <c r="I72" s="8" t="inlineStr">
        <is>
          <t>-</t>
        </is>
      </c>
      <c r="J72" s="9" t="n"/>
      <c r="K72" s="9" t="n"/>
      <c r="L72" s="10" t="n"/>
      <c r="M72" s="10" t="n"/>
      <c r="N72" s="11" t="n"/>
      <c r="O72" s="10" t="n"/>
    </row>
    <row r="73" ht="45" customHeight="1">
      <c r="A73" s="7" t="inlineStr">
        <is>
          <t>SAFE-04</t>
        </is>
      </c>
      <c r="B73" s="8" t="inlineStr">
        <is>
          <t>Safety</t>
        </is>
      </c>
      <c r="C73" s="8" t="inlineStr">
        <is>
          <t>P1</t>
        </is>
      </c>
      <c r="D73" s="8" t="inlineStr">
        <is>
          <t>Uninstall leaves workspaces alone</t>
        </is>
      </c>
      <c r="E73" s="8" t="inlineStr">
        <is>
          <t>pip uninstall binggio</t>
        </is>
      </c>
      <c r="F73" s="8" t="inlineStr">
        <is>
          <t>Command gone; workspaces intact</t>
        </is>
      </c>
      <c r="G73" s="8" t="inlineStr">
        <is>
          <t>Agent</t>
        </is>
      </c>
      <c r="H73" s="8" t="inlineStr">
        <is>
          <t>files present</t>
        </is>
      </c>
      <c r="I73" s="8" t="inlineStr">
        <is>
          <t>-</t>
        </is>
      </c>
      <c r="J73" s="9" t="n"/>
      <c r="K73" s="9" t="n"/>
      <c r="L73" s="10" t="n"/>
      <c r="M73" s="10" t="n"/>
      <c r="N73" s="11" t="n"/>
      <c r="O73" s="10" t="n"/>
    </row>
    <row r="74" ht="45" customHeight="1">
      <c r="A74" s="7" t="inlineStr">
        <is>
          <t>PERF-01</t>
        </is>
      </c>
      <c r="B74" s="8" t="inlineStr">
        <is>
          <t>Performance</t>
        </is>
      </c>
      <c r="C74" s="8" t="inlineStr">
        <is>
          <t>P1</t>
        </is>
      </c>
      <c r="D74" s="8" t="inlineStr">
        <is>
          <t>300,000-row table end to end</t>
        </is>
      </c>
      <c r="E74" s="8" t="inlineStr">
        <is>
          <t>Add, profile, discover, onboard, ask a total by segment</t>
        </is>
      </c>
      <c r="F74" s="8" t="inlineStr">
        <is>
          <t>Exact totals; each step under 30 s</t>
        </is>
      </c>
      <c r="G74" s="8" t="inlineStr">
        <is>
          <t>Agent</t>
        </is>
      </c>
      <c r="H74" s="8" t="inlineStr">
        <is>
          <t>totals exact; timings</t>
        </is>
      </c>
      <c r="I74" s="8" t="inlineStr">
        <is>
          <t>a step takes 30-90 s</t>
        </is>
      </c>
      <c r="J74" s="9" t="n"/>
      <c r="K74" s="9" t="n"/>
      <c r="L74" s="10" t="n"/>
      <c r="M74" s="10" t="n"/>
      <c r="N74" s="11" t="n"/>
      <c r="O74" s="10" t="n"/>
    </row>
    <row r="75" ht="45" customHeight="1">
      <c r="A75" s="7" t="inlineStr">
        <is>
          <t>UI-01</t>
        </is>
      </c>
      <c r="B75" s="8" t="inlineStr">
        <is>
          <t>Screens</t>
        </is>
      </c>
      <c r="C75" s="8" t="inlineStr">
        <is>
          <t>P1</t>
        </is>
      </c>
      <c r="D75" s="8" t="inlineStr">
        <is>
          <t>Every screen opens without errors</t>
        </is>
      </c>
      <c r="E75" s="8" t="inlineStr">
        <is>
          <t>Open all 11 screens</t>
        </is>
      </c>
      <c r="F75" s="8" t="inlineStr">
        <is>
          <t>No script errors; each shows content</t>
        </is>
      </c>
      <c r="G75" s="8" t="inlineStr">
        <is>
          <t>Agent + browser</t>
        </is>
      </c>
      <c r="H75" s="8" t="inlineStr">
        <is>
          <t>page errors and content</t>
        </is>
      </c>
      <c r="I75" s="8" t="inlineStr">
        <is>
          <t>-</t>
        </is>
      </c>
      <c r="J75" s="9" t="n"/>
      <c r="K75" s="9" t="n"/>
      <c r="L75" s="10" t="n"/>
      <c r="M75" s="10" t="n"/>
      <c r="N75" s="11" t="n"/>
      <c r="O75" s="10" t="n"/>
    </row>
    <row r="76" ht="45" customHeight="1">
      <c r="A76" s="7" t="inlineStr">
        <is>
          <t>UI-02</t>
        </is>
      </c>
      <c r="B76" s="8" t="inlineStr">
        <is>
          <t>Screens</t>
        </is>
      </c>
      <c r="C76" s="8" t="inlineStr">
        <is>
          <t>P2</t>
        </is>
      </c>
      <c r="D76" s="8" t="inlineStr">
        <is>
          <t>Works at phone width</t>
        </is>
      </c>
      <c r="E76" s="8" t="inlineStr">
        <is>
          <t>Open Review at 390 px wide</t>
        </is>
      </c>
      <c r="F76" s="8" t="inlineStr">
        <is>
          <t>No sideways scrolling of the page</t>
        </is>
      </c>
      <c r="G76" s="8" t="inlineStr">
        <is>
          <t>Agent + browser</t>
        </is>
      </c>
      <c r="H76" s="8" t="inlineStr">
        <is>
          <t>page width equals window width</t>
        </is>
      </c>
      <c r="I76" s="8" t="inlineStr">
        <is>
          <t>-</t>
        </is>
      </c>
      <c r="J76" s="9" t="n"/>
      <c r="K76" s="9" t="n"/>
      <c r="L76" s="10" t="n"/>
      <c r="M76" s="10" t="n"/>
      <c r="N76" s="11" t="n"/>
      <c r="O76" s="10" t="n"/>
    </row>
    <row r="77" ht="45" customHeight="1">
      <c r="A77" s="7" t="inlineStr">
        <is>
          <t>UI-03</t>
        </is>
      </c>
      <c r="B77" s="8" t="inlineStr">
        <is>
          <t>Screens</t>
        </is>
      </c>
      <c r="C77" s="8" t="inlineStr">
        <is>
          <t>P1</t>
        </is>
      </c>
      <c r="D77" s="8" t="inlineStr">
        <is>
          <t>Start screen to first answer by clicking</t>
        </is>
      </c>
      <c r="E77" s="8" t="inlineStr">
        <is>
          <t>Create a workspace, add the CSV export, onboard, ask a sample-bank question</t>
        </is>
      </c>
      <c r="F77" s="8" t="inlineStr">
        <is>
          <t>Completes by clicking only</t>
        </is>
      </c>
      <c r="G77" s="8" t="inlineStr">
        <is>
          <t>Agent + browser</t>
        </is>
      </c>
      <c r="H77" s="8" t="inlineStr">
        <is>
          <t>each step reaches its expected screen</t>
        </is>
      </c>
      <c r="I77" s="8" t="inlineStr">
        <is>
          <t>-</t>
        </is>
      </c>
      <c r="J77" s="9" t="n"/>
      <c r="K77" s="9" t="n"/>
      <c r="L77" s="10" t="n"/>
      <c r="M77" s="10" t="n"/>
      <c r="N77" s="11" t="n"/>
      <c r="O77" s="10" t="n"/>
    </row>
    <row r="78" ht="45" customHeight="1">
      <c r="A78" s="7" t="inlineStr">
        <is>
          <t>UI-04</t>
        </is>
      </c>
      <c r="B78" s="8" t="inlineStr">
        <is>
          <t>Screens</t>
        </is>
      </c>
      <c r="C78" s="8" t="inlineStr">
        <is>
          <t>P2</t>
        </is>
      </c>
      <c r="D78" s="8" t="inlineStr">
        <is>
          <t>Download an answer as CSV</t>
        </is>
      </c>
      <c r="E78" s="8" t="inlineStr">
        <is>
          <t>Ask a sample question -&gt; Download CSV</t>
        </is>
      </c>
      <c r="F78" s="8" t="inlineStr">
        <is>
          <t>A CSV with the same rows</t>
        </is>
      </c>
      <c r="G78" s="8" t="inlineStr">
        <is>
          <t>Agent + browser</t>
        </is>
      </c>
      <c r="H78" s="8" t="inlineStr">
        <is>
          <t>downloaded rows equal the answer</t>
        </is>
      </c>
      <c r="I78" s="8" t="inlineStr">
        <is>
          <t>-</t>
        </is>
      </c>
      <c r="J78" s="9" t="n"/>
      <c r="K78" s="9" t="n"/>
      <c r="L78" s="10" t="n"/>
      <c r="M78" s="10" t="n"/>
      <c r="N78" s="11" t="n"/>
      <c r="O78" s="10" t="n"/>
    </row>
    <row r="79" ht="45" customHeight="1">
      <c r="A79" s="7" t="inlineStr">
        <is>
          <t>UI-05</t>
        </is>
      </c>
      <c r="B79" s="8" t="inlineStr">
        <is>
          <t>Screens</t>
        </is>
      </c>
      <c r="C79" s="8" t="inlineStr">
        <is>
          <t>P2</t>
        </is>
      </c>
      <c r="D79" s="8" t="inlineStr">
        <is>
          <t>Keyboard: the question box and dialogs</t>
        </is>
      </c>
      <c r="E79" s="8" t="inlineStr">
        <is>
          <t>Press Enter to ask; Esc closes a dialog</t>
        </is>
      </c>
      <c r="F79" s="8" t="inlineStr">
        <is>
          <t>Both work</t>
        </is>
      </c>
      <c r="G79" s="8" t="inlineStr">
        <is>
          <t>Agent + browser</t>
        </is>
      </c>
      <c r="H79" s="8" t="inlineStr">
        <is>
          <t>answer appears; dialog closes</t>
        </is>
      </c>
      <c r="I79" s="8" t="inlineStr">
        <is>
          <t>-</t>
        </is>
      </c>
      <c r="J79" s="9" t="n"/>
      <c r="K79" s="9" t="n"/>
      <c r="L79" s="10" t="n"/>
      <c r="M79" s="10" t="n"/>
      <c r="N79" s="11" t="n"/>
      <c r="O79" s="10" t="n"/>
    </row>
  </sheetData>
  <autoFilter ref="A1:O79"/>
  <conditionalFormatting sqref="J2:J7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"AMBIGUOUS"</formula>
    </cfRule>
    <cfRule type="cellIs" priority="4" operator="equal" dxfId="3">
      <formula>"NOT RUN"</formula>
    </cfRule>
    <cfRule type="cellIs" priority="5" operator="equal" dxfId="2">
      <formula>"BLOCKED"</formula>
    </cfRule>
    <cfRule type="cellIs" priority="6" operator="equal" dxfId="3">
      <formula>"N/A"</formula>
    </cfRule>
  </conditionalFormatting>
  <conditionalFormatting sqref="L2:L79"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"AMBIGUOUS"</formula>
    </cfRule>
    <cfRule type="cellIs" priority="10" operator="equal" dxfId="3">
      <formula>"NOT RUN"</formula>
    </cfRule>
    <cfRule type="cellIs" priority="11" operator="equal" dxfId="2">
      <formula>"BLOCKED"</formula>
    </cfRule>
    <cfRule type="cellIs" priority="12" operator="equal" dxfId="3">
      <formula>"N/A"</formula>
    </cfRule>
  </conditionalFormatting>
  <dataValidations count="2">
    <dataValidation sqref="L2:L79" showDropDown="0" showInputMessage="0" showErrorMessage="0" allowBlank="1" errorTitle="Your result" error="Choose PASS, FAIL, BLOCKED or N/A" type="list">
      <formula1>"PASS,FAIL,BLOCKED,N/A"</formula1>
    </dataValidation>
    <dataValidation sqref="N2:N79" showDropDown="0" showInputMessage="0" showErrorMessage="0" allowBlank="1" type="date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2" t="inlineStr">
        <is>
          <t>Summary</t>
        </is>
      </c>
    </row>
    <row r="2">
      <c r="A2" s="13" t="inlineStr">
        <is>
          <t>Counts update as results are entered. "Decided" = your result if given, otherwise the agent's PASS or FAIL.</t>
        </is>
      </c>
    </row>
    <row r="4">
      <c r="A4" s="14" t="inlineStr">
        <is>
          <t>Area</t>
        </is>
      </c>
      <c r="B4" s="14" t="inlineStr">
        <is>
          <t>Cases</t>
        </is>
      </c>
      <c r="C4" s="14" t="inlineStr">
        <is>
          <t>P1</t>
        </is>
      </c>
      <c r="D4" s="14" t="inlineStr">
        <is>
          <t>Agent PASS</t>
        </is>
      </c>
      <c r="E4" s="14" t="inlineStr">
        <is>
          <t>Agent FAIL</t>
        </is>
      </c>
      <c r="F4" s="14" t="inlineStr">
        <is>
          <t>Ambiguous</t>
        </is>
      </c>
      <c r="G4" s="14" t="inlineStr">
        <is>
          <t>Not run</t>
        </is>
      </c>
      <c r="H4" s="14" t="inlineStr">
        <is>
          <t>Your PASS</t>
        </is>
      </c>
      <c r="I4" s="14" t="inlineStr">
        <is>
          <t>Your FAIL</t>
        </is>
      </c>
    </row>
    <row r="5">
      <c r="A5" s="3" t="inlineStr">
        <is>
          <t>Install</t>
        </is>
      </c>
      <c r="B5" s="15">
        <f>COUNTIF('UAT cases'!$B$2:$B$79,$A5)</f>
        <v/>
      </c>
      <c r="C5" s="15">
        <f>COUNTIFS('UAT cases'!$B$2:$B$79,$A5,'UAT cases'!$C$2:$C$79,"P1")</f>
        <v/>
      </c>
      <c r="D5" s="15">
        <f>COUNTIFS('UAT cases'!$B$2:$B$79,$A5,'UAT cases'!$J$2:$J$79,"PASS")</f>
        <v/>
      </c>
      <c r="E5" s="15">
        <f>COUNTIFS('UAT cases'!$B$2:$B$79,$A5,'UAT cases'!$J$2:$J$79,"FAIL")</f>
        <v/>
      </c>
      <c r="F5" s="15">
        <f>COUNTIFS('UAT cases'!$B$2:$B$79,$A5,'UAT cases'!$J$2:$J$79,"AMBIGUOUS")</f>
        <v/>
      </c>
      <c r="G5" s="15">
        <f>COUNTIFS('UAT cases'!$B$2:$B$79,$A5,'UAT cases'!$J$2:$J$79,"NOT RUN")</f>
        <v/>
      </c>
      <c r="H5" s="15">
        <f>COUNTIFS('UAT cases'!$B$2:$B$79,$A5,'UAT cases'!$L$2:$L$79,"PASS")</f>
        <v/>
      </c>
      <c r="I5" s="15">
        <f>COUNTIFS('UAT cases'!$B$2:$B$79,$A5,'UAT cases'!$L$2:$L$79,"FAIL")</f>
        <v/>
      </c>
    </row>
    <row r="6">
      <c r="A6" s="3" t="inlineStr">
        <is>
          <t>App</t>
        </is>
      </c>
      <c r="B6" s="15">
        <f>COUNTIF('UAT cases'!$B$2:$B$79,$A6)</f>
        <v/>
      </c>
      <c r="C6" s="15">
        <f>COUNTIFS('UAT cases'!$B$2:$B$79,$A6,'UAT cases'!$C$2:$C$79,"P1")</f>
        <v/>
      </c>
      <c r="D6" s="15">
        <f>COUNTIFS('UAT cases'!$B$2:$B$79,$A6,'UAT cases'!$J$2:$J$79,"PASS")</f>
        <v/>
      </c>
      <c r="E6" s="15">
        <f>COUNTIFS('UAT cases'!$B$2:$B$79,$A6,'UAT cases'!$J$2:$J$79,"FAIL")</f>
        <v/>
      </c>
      <c r="F6" s="15">
        <f>COUNTIFS('UAT cases'!$B$2:$B$79,$A6,'UAT cases'!$J$2:$J$79,"AMBIGUOUS")</f>
        <v/>
      </c>
      <c r="G6" s="15">
        <f>COUNTIFS('UAT cases'!$B$2:$B$79,$A6,'UAT cases'!$J$2:$J$79,"NOT RUN")</f>
        <v/>
      </c>
      <c r="H6" s="15">
        <f>COUNTIFS('UAT cases'!$B$2:$B$79,$A6,'UAT cases'!$L$2:$L$79,"PASS")</f>
        <v/>
      </c>
      <c r="I6" s="15">
        <f>COUNTIFS('UAT cases'!$B$2:$B$79,$A6,'UAT cases'!$L$2:$L$79,"FAIL")</f>
        <v/>
      </c>
    </row>
    <row r="7">
      <c r="A7" s="3" t="inlineStr">
        <is>
          <t>Sample bank</t>
        </is>
      </c>
      <c r="B7" s="15">
        <f>COUNTIF('UAT cases'!$B$2:$B$79,$A7)</f>
        <v/>
      </c>
      <c r="C7" s="15">
        <f>COUNTIFS('UAT cases'!$B$2:$B$79,$A7,'UAT cases'!$C$2:$C$79,"P1")</f>
        <v/>
      </c>
      <c r="D7" s="15">
        <f>COUNTIFS('UAT cases'!$B$2:$B$79,$A7,'UAT cases'!$J$2:$J$79,"PASS")</f>
        <v/>
      </c>
      <c r="E7" s="15">
        <f>COUNTIFS('UAT cases'!$B$2:$B$79,$A7,'UAT cases'!$J$2:$J$79,"FAIL")</f>
        <v/>
      </c>
      <c r="F7" s="15">
        <f>COUNTIFS('UAT cases'!$B$2:$B$79,$A7,'UAT cases'!$J$2:$J$79,"AMBIGUOUS")</f>
        <v/>
      </c>
      <c r="G7" s="15">
        <f>COUNTIFS('UAT cases'!$B$2:$B$79,$A7,'UAT cases'!$J$2:$J$79,"NOT RUN")</f>
        <v/>
      </c>
      <c r="H7" s="15">
        <f>COUNTIFS('UAT cases'!$B$2:$B$79,$A7,'UAT cases'!$L$2:$L$79,"PASS")</f>
        <v/>
      </c>
      <c r="I7" s="15">
        <f>COUNTIFS('UAT cases'!$B$2:$B$79,$A7,'UAT cases'!$L$2:$L$79,"FAIL")</f>
        <v/>
      </c>
    </row>
    <row r="8">
      <c r="A8" s="3" t="inlineStr">
        <is>
          <t>Data sources</t>
        </is>
      </c>
      <c r="B8" s="15">
        <f>COUNTIF('UAT cases'!$B$2:$B$79,$A8)</f>
        <v/>
      </c>
      <c r="C8" s="15">
        <f>COUNTIFS('UAT cases'!$B$2:$B$79,$A8,'UAT cases'!$C$2:$C$79,"P1")</f>
        <v/>
      </c>
      <c r="D8" s="15">
        <f>COUNTIFS('UAT cases'!$B$2:$B$79,$A8,'UAT cases'!$J$2:$J$79,"PASS")</f>
        <v/>
      </c>
      <c r="E8" s="15">
        <f>COUNTIFS('UAT cases'!$B$2:$B$79,$A8,'UAT cases'!$J$2:$J$79,"FAIL")</f>
        <v/>
      </c>
      <c r="F8" s="15">
        <f>COUNTIFS('UAT cases'!$B$2:$B$79,$A8,'UAT cases'!$J$2:$J$79,"AMBIGUOUS")</f>
        <v/>
      </c>
      <c r="G8" s="15">
        <f>COUNTIFS('UAT cases'!$B$2:$B$79,$A8,'UAT cases'!$J$2:$J$79,"NOT RUN")</f>
        <v/>
      </c>
      <c r="H8" s="15">
        <f>COUNTIFS('UAT cases'!$B$2:$B$79,$A8,'UAT cases'!$L$2:$L$79,"PASS")</f>
        <v/>
      </c>
      <c r="I8" s="15">
        <f>COUNTIFS('UAT cases'!$B$2:$B$79,$A8,'UAT cases'!$L$2:$L$79,"FAIL")</f>
        <v/>
      </c>
    </row>
    <row r="9">
      <c r="A9" s="3" t="inlineStr">
        <is>
          <t>Discovery</t>
        </is>
      </c>
      <c r="B9" s="15">
        <f>COUNTIF('UAT cases'!$B$2:$B$79,$A9)</f>
        <v/>
      </c>
      <c r="C9" s="15">
        <f>COUNTIFS('UAT cases'!$B$2:$B$79,$A9,'UAT cases'!$C$2:$C$79,"P1")</f>
        <v/>
      </c>
      <c r="D9" s="15">
        <f>COUNTIFS('UAT cases'!$B$2:$B$79,$A9,'UAT cases'!$J$2:$J$79,"PASS")</f>
        <v/>
      </c>
      <c r="E9" s="15">
        <f>COUNTIFS('UAT cases'!$B$2:$B$79,$A9,'UAT cases'!$J$2:$J$79,"FAIL")</f>
        <v/>
      </c>
      <c r="F9" s="15">
        <f>COUNTIFS('UAT cases'!$B$2:$B$79,$A9,'UAT cases'!$J$2:$J$79,"AMBIGUOUS")</f>
        <v/>
      </c>
      <c r="G9" s="15">
        <f>COUNTIFS('UAT cases'!$B$2:$B$79,$A9,'UAT cases'!$J$2:$J$79,"NOT RUN")</f>
        <v/>
      </c>
      <c r="H9" s="15">
        <f>COUNTIFS('UAT cases'!$B$2:$B$79,$A9,'UAT cases'!$L$2:$L$79,"PASS")</f>
        <v/>
      </c>
      <c r="I9" s="15">
        <f>COUNTIFS('UAT cases'!$B$2:$B$79,$A9,'UAT cases'!$L$2:$L$79,"FAIL")</f>
        <v/>
      </c>
    </row>
    <row r="10">
      <c r="A10" s="3" t="inlineStr">
        <is>
          <t>Onboarding</t>
        </is>
      </c>
      <c r="B10" s="15">
        <f>COUNTIF('UAT cases'!$B$2:$B$79,$A10)</f>
        <v/>
      </c>
      <c r="C10" s="15">
        <f>COUNTIFS('UAT cases'!$B$2:$B$79,$A10,'UAT cases'!$C$2:$C$79,"P1")</f>
        <v/>
      </c>
      <c r="D10" s="15">
        <f>COUNTIFS('UAT cases'!$B$2:$B$79,$A10,'UAT cases'!$J$2:$J$79,"PASS")</f>
        <v/>
      </c>
      <c r="E10" s="15">
        <f>COUNTIFS('UAT cases'!$B$2:$B$79,$A10,'UAT cases'!$J$2:$J$79,"FAIL")</f>
        <v/>
      </c>
      <c r="F10" s="15">
        <f>COUNTIFS('UAT cases'!$B$2:$B$79,$A10,'UAT cases'!$J$2:$J$79,"AMBIGUOUS")</f>
        <v/>
      </c>
      <c r="G10" s="15">
        <f>COUNTIFS('UAT cases'!$B$2:$B$79,$A10,'UAT cases'!$J$2:$J$79,"NOT RUN")</f>
        <v/>
      </c>
      <c r="H10" s="15">
        <f>COUNTIFS('UAT cases'!$B$2:$B$79,$A10,'UAT cases'!$L$2:$L$79,"PASS")</f>
        <v/>
      </c>
      <c r="I10" s="15">
        <f>COUNTIFS('UAT cases'!$B$2:$B$79,$A10,'UAT cases'!$L$2:$L$79,"FAIL")</f>
        <v/>
      </c>
    </row>
    <row r="11">
      <c r="A11" s="3" t="inlineStr">
        <is>
          <t>Review</t>
        </is>
      </c>
      <c r="B11" s="15">
        <f>COUNTIF('UAT cases'!$B$2:$B$79,$A11)</f>
        <v/>
      </c>
      <c r="C11" s="15">
        <f>COUNTIFS('UAT cases'!$B$2:$B$79,$A11,'UAT cases'!$C$2:$C$79,"P1")</f>
        <v/>
      </c>
      <c r="D11" s="15">
        <f>COUNTIFS('UAT cases'!$B$2:$B$79,$A11,'UAT cases'!$J$2:$J$79,"PASS")</f>
        <v/>
      </c>
      <c r="E11" s="15">
        <f>COUNTIFS('UAT cases'!$B$2:$B$79,$A11,'UAT cases'!$J$2:$J$79,"FAIL")</f>
        <v/>
      </c>
      <c r="F11" s="15">
        <f>COUNTIFS('UAT cases'!$B$2:$B$79,$A11,'UAT cases'!$J$2:$J$79,"AMBIGUOUS")</f>
        <v/>
      </c>
      <c r="G11" s="15">
        <f>COUNTIFS('UAT cases'!$B$2:$B$79,$A11,'UAT cases'!$J$2:$J$79,"NOT RUN")</f>
        <v/>
      </c>
      <c r="H11" s="15">
        <f>COUNTIFS('UAT cases'!$B$2:$B$79,$A11,'UAT cases'!$L$2:$L$79,"PASS")</f>
        <v/>
      </c>
      <c r="I11" s="15">
        <f>COUNTIFS('UAT cases'!$B$2:$B$79,$A11,'UAT cases'!$L$2:$L$79,"FAIL")</f>
        <v/>
      </c>
    </row>
    <row r="12">
      <c r="A12" s="3" t="inlineStr">
        <is>
          <t>Data changes</t>
        </is>
      </c>
      <c r="B12" s="15">
        <f>COUNTIF('UAT cases'!$B$2:$B$79,$A12)</f>
        <v/>
      </c>
      <c r="C12" s="15">
        <f>COUNTIFS('UAT cases'!$B$2:$B$79,$A12,'UAT cases'!$C$2:$C$79,"P1")</f>
        <v/>
      </c>
      <c r="D12" s="15">
        <f>COUNTIFS('UAT cases'!$B$2:$B$79,$A12,'UAT cases'!$J$2:$J$79,"PASS")</f>
        <v/>
      </c>
      <c r="E12" s="15">
        <f>COUNTIFS('UAT cases'!$B$2:$B$79,$A12,'UAT cases'!$J$2:$J$79,"FAIL")</f>
        <v/>
      </c>
      <c r="F12" s="15">
        <f>COUNTIFS('UAT cases'!$B$2:$B$79,$A12,'UAT cases'!$J$2:$J$79,"AMBIGUOUS")</f>
        <v/>
      </c>
      <c r="G12" s="15">
        <f>COUNTIFS('UAT cases'!$B$2:$B$79,$A12,'UAT cases'!$J$2:$J$79,"NOT RUN")</f>
        <v/>
      </c>
      <c r="H12" s="15">
        <f>COUNTIFS('UAT cases'!$B$2:$B$79,$A12,'UAT cases'!$L$2:$L$79,"PASS")</f>
        <v/>
      </c>
      <c r="I12" s="15">
        <f>COUNTIFS('UAT cases'!$B$2:$B$79,$A12,'UAT cases'!$L$2:$L$79,"FAIL")</f>
        <v/>
      </c>
    </row>
    <row r="13">
      <c r="A13" s="3" t="inlineStr">
        <is>
          <t>Ask</t>
        </is>
      </c>
      <c r="B13" s="15">
        <f>COUNTIF('UAT cases'!$B$2:$B$79,$A13)</f>
        <v/>
      </c>
      <c r="C13" s="15">
        <f>COUNTIFS('UAT cases'!$B$2:$B$79,$A13,'UAT cases'!$C$2:$C$79,"P1")</f>
        <v/>
      </c>
      <c r="D13" s="15">
        <f>COUNTIFS('UAT cases'!$B$2:$B$79,$A13,'UAT cases'!$J$2:$J$79,"PASS")</f>
        <v/>
      </c>
      <c r="E13" s="15">
        <f>COUNTIFS('UAT cases'!$B$2:$B$79,$A13,'UAT cases'!$J$2:$J$79,"FAIL")</f>
        <v/>
      </c>
      <c r="F13" s="15">
        <f>COUNTIFS('UAT cases'!$B$2:$B$79,$A13,'UAT cases'!$J$2:$J$79,"AMBIGUOUS")</f>
        <v/>
      </c>
      <c r="G13" s="15">
        <f>COUNTIFS('UAT cases'!$B$2:$B$79,$A13,'UAT cases'!$J$2:$J$79,"NOT RUN")</f>
        <v/>
      </c>
      <c r="H13" s="15">
        <f>COUNTIFS('UAT cases'!$B$2:$B$79,$A13,'UAT cases'!$L$2:$L$79,"PASS")</f>
        <v/>
      </c>
      <c r="I13" s="15">
        <f>COUNTIFS('UAT cases'!$B$2:$B$79,$A13,'UAT cases'!$L$2:$L$79,"FAIL")</f>
        <v/>
      </c>
    </row>
    <row r="14">
      <c r="A14" s="3" t="inlineStr">
        <is>
          <t>Ask (own words)</t>
        </is>
      </c>
      <c r="B14" s="15">
        <f>COUNTIF('UAT cases'!$B$2:$B$79,$A14)</f>
        <v/>
      </c>
      <c r="C14" s="15">
        <f>COUNTIFS('UAT cases'!$B$2:$B$79,$A14,'UAT cases'!$C$2:$C$79,"P1")</f>
        <v/>
      </c>
      <c r="D14" s="15">
        <f>COUNTIFS('UAT cases'!$B$2:$B$79,$A14,'UAT cases'!$J$2:$J$79,"PASS")</f>
        <v/>
      </c>
      <c r="E14" s="15">
        <f>COUNTIFS('UAT cases'!$B$2:$B$79,$A14,'UAT cases'!$J$2:$J$79,"FAIL")</f>
        <v/>
      </c>
      <c r="F14" s="15">
        <f>COUNTIFS('UAT cases'!$B$2:$B$79,$A14,'UAT cases'!$J$2:$J$79,"AMBIGUOUS")</f>
        <v/>
      </c>
      <c r="G14" s="15">
        <f>COUNTIFS('UAT cases'!$B$2:$B$79,$A14,'UAT cases'!$J$2:$J$79,"NOT RUN")</f>
        <v/>
      </c>
      <c r="H14" s="15">
        <f>COUNTIFS('UAT cases'!$B$2:$B$79,$A14,'UAT cases'!$L$2:$L$79,"PASS")</f>
        <v/>
      </c>
      <c r="I14" s="15">
        <f>COUNTIFS('UAT cases'!$B$2:$B$79,$A14,'UAT cases'!$L$2:$L$79,"FAIL")</f>
        <v/>
      </c>
    </row>
    <row r="15">
      <c r="A15" s="3" t="inlineStr">
        <is>
          <t>AI agents</t>
        </is>
      </c>
      <c r="B15" s="15">
        <f>COUNTIF('UAT cases'!$B$2:$B$79,$A15)</f>
        <v/>
      </c>
      <c r="C15" s="15">
        <f>COUNTIFS('UAT cases'!$B$2:$B$79,$A15,'UAT cases'!$C$2:$C$79,"P1")</f>
        <v/>
      </c>
      <c r="D15" s="15">
        <f>COUNTIFS('UAT cases'!$B$2:$B$79,$A15,'UAT cases'!$J$2:$J$79,"PASS")</f>
        <v/>
      </c>
      <c r="E15" s="15">
        <f>COUNTIFS('UAT cases'!$B$2:$B$79,$A15,'UAT cases'!$J$2:$J$79,"FAIL")</f>
        <v/>
      </c>
      <c r="F15" s="15">
        <f>COUNTIFS('UAT cases'!$B$2:$B$79,$A15,'UAT cases'!$J$2:$J$79,"AMBIGUOUS")</f>
        <v/>
      </c>
      <c r="G15" s="15">
        <f>COUNTIFS('UAT cases'!$B$2:$B$79,$A15,'UAT cases'!$J$2:$J$79,"NOT RUN")</f>
        <v/>
      </c>
      <c r="H15" s="15">
        <f>COUNTIFS('UAT cases'!$B$2:$B$79,$A15,'UAT cases'!$L$2:$L$79,"PASS")</f>
        <v/>
      </c>
      <c r="I15" s="15">
        <f>COUNTIFS('UAT cases'!$B$2:$B$79,$A15,'UAT cases'!$L$2:$L$79,"FAIL")</f>
        <v/>
      </c>
    </row>
    <row r="16">
      <c r="A16" s="3" t="inlineStr">
        <is>
          <t>Safety</t>
        </is>
      </c>
      <c r="B16" s="15">
        <f>COUNTIF('UAT cases'!$B$2:$B$79,$A16)</f>
        <v/>
      </c>
      <c r="C16" s="15">
        <f>COUNTIFS('UAT cases'!$B$2:$B$79,$A16,'UAT cases'!$C$2:$C$79,"P1")</f>
        <v/>
      </c>
      <c r="D16" s="15">
        <f>COUNTIFS('UAT cases'!$B$2:$B$79,$A16,'UAT cases'!$J$2:$J$79,"PASS")</f>
        <v/>
      </c>
      <c r="E16" s="15">
        <f>COUNTIFS('UAT cases'!$B$2:$B$79,$A16,'UAT cases'!$J$2:$J$79,"FAIL")</f>
        <v/>
      </c>
      <c r="F16" s="15">
        <f>COUNTIFS('UAT cases'!$B$2:$B$79,$A16,'UAT cases'!$J$2:$J$79,"AMBIGUOUS")</f>
        <v/>
      </c>
      <c r="G16" s="15">
        <f>COUNTIFS('UAT cases'!$B$2:$B$79,$A16,'UAT cases'!$J$2:$J$79,"NOT RUN")</f>
        <v/>
      </c>
      <c r="H16" s="15">
        <f>COUNTIFS('UAT cases'!$B$2:$B$79,$A16,'UAT cases'!$L$2:$L$79,"PASS")</f>
        <v/>
      </c>
      <c r="I16" s="15">
        <f>COUNTIFS('UAT cases'!$B$2:$B$79,$A16,'UAT cases'!$L$2:$L$79,"FAIL")</f>
        <v/>
      </c>
    </row>
    <row r="17">
      <c r="A17" s="3" t="inlineStr">
        <is>
          <t>Performance</t>
        </is>
      </c>
      <c r="B17" s="15">
        <f>COUNTIF('UAT cases'!$B$2:$B$79,$A17)</f>
        <v/>
      </c>
      <c r="C17" s="15">
        <f>COUNTIFS('UAT cases'!$B$2:$B$79,$A17,'UAT cases'!$C$2:$C$79,"P1")</f>
        <v/>
      </c>
      <c r="D17" s="15">
        <f>COUNTIFS('UAT cases'!$B$2:$B$79,$A17,'UAT cases'!$J$2:$J$79,"PASS")</f>
        <v/>
      </c>
      <c r="E17" s="15">
        <f>COUNTIFS('UAT cases'!$B$2:$B$79,$A17,'UAT cases'!$J$2:$J$79,"FAIL")</f>
        <v/>
      </c>
      <c r="F17" s="15">
        <f>COUNTIFS('UAT cases'!$B$2:$B$79,$A17,'UAT cases'!$J$2:$J$79,"AMBIGUOUS")</f>
        <v/>
      </c>
      <c r="G17" s="15">
        <f>COUNTIFS('UAT cases'!$B$2:$B$79,$A17,'UAT cases'!$J$2:$J$79,"NOT RUN")</f>
        <v/>
      </c>
      <c r="H17" s="15">
        <f>COUNTIFS('UAT cases'!$B$2:$B$79,$A17,'UAT cases'!$L$2:$L$79,"PASS")</f>
        <v/>
      </c>
      <c r="I17" s="15">
        <f>COUNTIFS('UAT cases'!$B$2:$B$79,$A17,'UAT cases'!$L$2:$L$79,"FAIL")</f>
        <v/>
      </c>
    </row>
    <row r="18">
      <c r="A18" s="3" t="inlineStr">
        <is>
          <t>Screens</t>
        </is>
      </c>
      <c r="B18" s="15">
        <f>COUNTIF('UAT cases'!$B$2:$B$79,$A18)</f>
        <v/>
      </c>
      <c r="C18" s="15">
        <f>COUNTIFS('UAT cases'!$B$2:$B$79,$A18,'UAT cases'!$C$2:$C$79,"P1")</f>
        <v/>
      </c>
      <c r="D18" s="15">
        <f>COUNTIFS('UAT cases'!$B$2:$B$79,$A18,'UAT cases'!$J$2:$J$79,"PASS")</f>
        <v/>
      </c>
      <c r="E18" s="15">
        <f>COUNTIFS('UAT cases'!$B$2:$B$79,$A18,'UAT cases'!$J$2:$J$79,"FAIL")</f>
        <v/>
      </c>
      <c r="F18" s="15">
        <f>COUNTIFS('UAT cases'!$B$2:$B$79,$A18,'UAT cases'!$J$2:$J$79,"AMBIGUOUS")</f>
        <v/>
      </c>
      <c r="G18" s="15">
        <f>COUNTIFS('UAT cases'!$B$2:$B$79,$A18,'UAT cases'!$J$2:$J$79,"NOT RUN")</f>
        <v/>
      </c>
      <c r="H18" s="15">
        <f>COUNTIFS('UAT cases'!$B$2:$B$79,$A18,'UAT cases'!$L$2:$L$79,"PASS")</f>
        <v/>
      </c>
      <c r="I18" s="15">
        <f>COUNTIFS('UAT cases'!$B$2:$B$79,$A18,'UAT cases'!$L$2:$L$79,"FAIL")</f>
        <v/>
      </c>
    </row>
    <row r="19">
      <c r="A19" s="2" t="inlineStr">
        <is>
          <t>Total</t>
        </is>
      </c>
      <c r="B19" s="16">
        <f>SUM(B5:B18)</f>
        <v/>
      </c>
      <c r="C19" s="16">
        <f>SUM(C5:C18)</f>
        <v/>
      </c>
      <c r="D19" s="16">
        <f>SUM(D5:D18)</f>
        <v/>
      </c>
      <c r="E19" s="16">
        <f>SUM(E5:E18)</f>
        <v/>
      </c>
      <c r="F19" s="16">
        <f>SUM(F5:F18)</f>
        <v/>
      </c>
      <c r="G19" s="16">
        <f>SUM(G5:G18)</f>
        <v/>
      </c>
      <c r="H19" s="16">
        <f>SUM(H5:H18)</f>
        <v/>
      </c>
      <c r="I19" s="16">
        <f>SUM(I5:I18)</f>
        <v/>
      </c>
    </row>
    <row r="21">
      <c r="A21" s="17" t="inlineStr">
        <is>
          <t>Release check</t>
        </is>
      </c>
    </row>
    <row r="22">
      <c r="A22" s="3" t="inlineStr">
        <is>
          <t>P1 cases decided PASS</t>
        </is>
      </c>
      <c r="B22" s="16">
        <f>SUMPRODUCT(('UAT cases'!$C$2:$C$79="P1")*((('UAT cases'!$L$2:$L$79="PASS"))+(('UAT cases'!$L$2:$L$79="")*('UAT cases'!$J$2:$J$79="PASS"))&gt;0))</f>
        <v/>
      </c>
    </row>
    <row r="23">
      <c r="A23" s="3" t="inlineStr">
        <is>
          <t>P1 cases in total</t>
        </is>
      </c>
      <c r="B23" s="16">
        <f>COUNTIF('UAT cases'!$C$2:$C$79,"P1")</f>
        <v/>
      </c>
    </row>
    <row r="24">
      <c r="A24" s="3" t="inlineStr">
        <is>
          <t>Open failures</t>
        </is>
      </c>
      <c r="B24" s="16">
        <f>SUMPRODUCT((('UAT cases'!$J$2:$J$79="FAIL")*('UAT cases'!$L$2:$L$79&lt;&gt;"PASS"))+(('UAT cases'!$L$2:$L$79="FAIL")*1)&gt;0)</f>
        <v/>
      </c>
    </row>
    <row r="25">
      <c r="A25" s="3" t="inlineStr">
        <is>
          <t>Ambiguous without your verdict</t>
        </is>
      </c>
      <c r="B25" s="16">
        <f>SUMPRODUCT(('UAT cases'!$J$2:$J$79="AMBIGUOUS")*('UAT cases'!$L$2:$L$79=""))</f>
        <v/>
      </c>
    </row>
    <row r="26">
      <c r="A26" s="2" t="inlineStr">
        <is>
          <t>Ready to release</t>
        </is>
      </c>
      <c r="B26" s="16">
        <f>IF(AND(B22=B23,B24=0,B25=0),"YES","NO")</f>
        <v/>
      </c>
    </row>
  </sheetData>
  <conditionalFormatting sqref="B26">
    <cfRule type="cellIs" priority="1" operator="equal" dxfId="0">
      <formula>"YES"</formula>
    </cfRule>
    <cfRule type="cellIs" priority="2" operator="equal" dxfId="1">
      <formula>"NO"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2026-10-30T09:14:09Z</dcterms:created>
  <dcterms:modified xmlns:dcterms="http://purl.org/dc/terms/" xmlns:xsi="http://www.w3.org/2001/XMLSchema-instance" xsi:type="dcterms:W3CDTF">2026-10-30T09:14:09Z</dcterms:modified>
</cp:coreProperties>
</file>